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itd.travinh\Downloads\"/>
    </mc:Choice>
  </mc:AlternateContent>
  <bookViews>
    <workbookView xWindow="0" yWindow="0" windowWidth="28800" windowHeight="11310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9" i="1" l="1"/>
  <c r="M129" i="1" s="1"/>
  <c r="I129" i="1"/>
  <c r="L129" i="1" s="1"/>
  <c r="H129" i="1"/>
  <c r="G129" i="1"/>
  <c r="F129" i="1"/>
  <c r="E129" i="1"/>
  <c r="M128" i="1"/>
  <c r="L128" i="1"/>
  <c r="K128" i="1"/>
  <c r="M127" i="1"/>
  <c r="L127" i="1"/>
  <c r="K127" i="1"/>
  <c r="M126" i="1"/>
  <c r="L126" i="1"/>
  <c r="K126" i="1"/>
  <c r="M125" i="1"/>
  <c r="L125" i="1"/>
  <c r="K125" i="1"/>
  <c r="M124" i="1"/>
  <c r="L124" i="1"/>
  <c r="K124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L118" i="1"/>
  <c r="K118" i="1"/>
  <c r="M117" i="1"/>
  <c r="L117" i="1"/>
  <c r="K117" i="1"/>
  <c r="M116" i="1"/>
  <c r="L116" i="1"/>
  <c r="K116" i="1"/>
  <c r="M115" i="1"/>
  <c r="L115" i="1"/>
  <c r="K115" i="1"/>
  <c r="M114" i="1"/>
  <c r="L114" i="1"/>
  <c r="K114" i="1"/>
  <c r="M113" i="1"/>
  <c r="L113" i="1"/>
  <c r="K113" i="1"/>
  <c r="M112" i="1"/>
  <c r="L112" i="1"/>
  <c r="K112" i="1"/>
  <c r="M111" i="1"/>
  <c r="L111" i="1"/>
  <c r="K111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K129" i="1" l="1"/>
</calcChain>
</file>

<file path=xl/sharedStrings.xml><?xml version="1.0" encoding="utf-8"?>
<sst xmlns="http://schemas.openxmlformats.org/spreadsheetml/2006/main" count="269" uniqueCount="154">
  <si>
    <t>THỐNG KÊ NGƯỜI THAM GIA BHXH, BHYT, BHTN THEO XÃ</t>
  </si>
  <si>
    <t>STT</t>
  </si>
  <si>
    <t>MÃ XÃ</t>
  </si>
  <si>
    <t>TÊN XÃ</t>
  </si>
  <si>
    <t>BHXH CƠ SỞ 
QUẢN LÝ</t>
  </si>
  <si>
    <t>THÁNG 6/2026</t>
  </si>
  <si>
    <t>THÁNG 7/2026</t>
  </si>
  <si>
    <t>TĂNG / GIẢM
 SO VỚI THÁNG 6/2026</t>
  </si>
  <si>
    <t>BHXH</t>
  </si>
  <si>
    <t>BHYT</t>
  </si>
  <si>
    <t>BHTN</t>
  </si>
  <si>
    <t>Xã Ba Tri</t>
  </si>
  <si>
    <t>Ba Tri</t>
  </si>
  <si>
    <t>Xã Mỹ Chánh Hòa</t>
  </si>
  <si>
    <t>Xã Bảo Thạnh</t>
  </si>
  <si>
    <t>Xã Tân Xuân</t>
  </si>
  <si>
    <t>Xã An Ngãi Trung</t>
  </si>
  <si>
    <t>Xã An Hiệp</t>
  </si>
  <si>
    <t>Xã Tân Thủy</t>
  </si>
  <si>
    <t>Phường Cái Vồn</t>
  </si>
  <si>
    <t>Bình Minh</t>
  </si>
  <si>
    <t>Phường Bình Minh</t>
  </si>
  <si>
    <t>Xã Tân Lược</t>
  </si>
  <si>
    <t>Xã Mỹ Thuận</t>
  </si>
  <si>
    <t>Xã Tân Quới</t>
  </si>
  <si>
    <t>Phường Đông Thành</t>
  </si>
  <si>
    <t>Xã Bình Đại</t>
  </si>
  <si>
    <t>Bình Đại</t>
  </si>
  <si>
    <t>Xã Phú Thuận</t>
  </si>
  <si>
    <t>Xã Lộc Thuận</t>
  </si>
  <si>
    <t>Xã Châu Hưng</t>
  </si>
  <si>
    <t>Xã Thạnh Trị</t>
  </si>
  <si>
    <t>Xã Thạnh Phước</t>
  </si>
  <si>
    <t>Xã Thới Thuận</t>
  </si>
  <si>
    <t>Phường Phú Khương</t>
  </si>
  <si>
    <t>Bến Tre</t>
  </si>
  <si>
    <t>Phường An Hội</t>
  </si>
  <si>
    <t>Phường Sơn Đông</t>
  </si>
  <si>
    <t>Phường Bến Tre</t>
  </si>
  <si>
    <t>Xã Giao Long</t>
  </si>
  <si>
    <t>Xã Phú Túc</t>
  </si>
  <si>
    <t>Xã Tân Phú</t>
  </si>
  <si>
    <t>Phường Phú Tân</t>
  </si>
  <si>
    <t>Xã Tiên Thủy</t>
  </si>
  <si>
    <t>Xã Chợ Lách</t>
  </si>
  <si>
    <t>Chợ Lách</t>
  </si>
  <si>
    <t>Xã Phú Phụng</t>
  </si>
  <si>
    <t>Xã Vĩnh Thành</t>
  </si>
  <si>
    <t>Xã Hưng Khánh Trung</t>
  </si>
  <si>
    <t>Xã Mỏ Cày</t>
  </si>
  <si>
    <t>Xã Phước Mỹ Trung</t>
  </si>
  <si>
    <t>Xã Tân Thành Bình</t>
  </si>
  <si>
    <t>Xã Đồng Khởi</t>
  </si>
  <si>
    <t>Xã Nhuận Phú Tân</t>
  </si>
  <si>
    <t>Xã Thành Thới</t>
  </si>
  <si>
    <t>Xã Càng Long</t>
  </si>
  <si>
    <t>Càng Long</t>
  </si>
  <si>
    <t>Xã An Trường</t>
  </si>
  <si>
    <t>Xã Tân An</t>
  </si>
  <si>
    <t>Xã Bình Phú</t>
  </si>
  <si>
    <t>Xã Nhị Long</t>
  </si>
  <si>
    <t>Xã Cầu Kè</t>
  </si>
  <si>
    <t>Cầu Kè</t>
  </si>
  <si>
    <t>Xã An Phú Tân</t>
  </si>
  <si>
    <t>Xã Phong Thạnh</t>
  </si>
  <si>
    <t>Xã Tam Ngãi</t>
  </si>
  <si>
    <t>Xã Tiểu Cần</t>
  </si>
  <si>
    <t>Xã Hùng Hòa</t>
  </si>
  <si>
    <t>Xã Tập Ngãi</t>
  </si>
  <si>
    <t>Xã Tân Hòa</t>
  </si>
  <si>
    <t>Xã Mỹ Long</t>
  </si>
  <si>
    <t>Duyên Hải</t>
  </si>
  <si>
    <t>Xã Hiệp Mỹ</t>
  </si>
  <si>
    <t>Xã Đôn Châu</t>
  </si>
  <si>
    <t>Phường Duyên Hải</t>
  </si>
  <si>
    <t>Xã Long Thành</t>
  </si>
  <si>
    <t>Phường Trường Long Hòa</t>
  </si>
  <si>
    <t>Xã Long Hữu</t>
  </si>
  <si>
    <t>Xã Ngũ Lạc</t>
  </si>
  <si>
    <t>Xã Long Vĩnh</t>
  </si>
  <si>
    <t>Xã Đông Hải</t>
  </si>
  <si>
    <t>Xã Giồng Trôm</t>
  </si>
  <si>
    <t>Giồng Trôm</t>
  </si>
  <si>
    <t>Xã Lương Hòa</t>
  </si>
  <si>
    <t>Xã Lương Phú</t>
  </si>
  <si>
    <t>Xã Châu Hòa</t>
  </si>
  <si>
    <t>Xã Phước Long</t>
  </si>
  <si>
    <t>Xã Tân Hào</t>
  </si>
  <si>
    <t>Xã Hưng Nhượng</t>
  </si>
  <si>
    <t>Xã An Bình</t>
  </si>
  <si>
    <t>Long Hồ</t>
  </si>
  <si>
    <t>Xã Long Hồ</t>
  </si>
  <si>
    <t>Xã Phú Quới</t>
  </si>
  <si>
    <t>Xã Nhơn Phú</t>
  </si>
  <si>
    <t>Xã Bình Phước</t>
  </si>
  <si>
    <t>Xã Cái Nhum</t>
  </si>
  <si>
    <t>Xã Tân Long Hội</t>
  </si>
  <si>
    <t>Xã Tam Bình</t>
  </si>
  <si>
    <t>Tam Bình</t>
  </si>
  <si>
    <t>Xã Cái Ngang</t>
  </si>
  <si>
    <t>Xã Hòa Hiệp</t>
  </si>
  <si>
    <t>Xã Song Phú</t>
  </si>
  <si>
    <t>Xã Ngãi Tứ</t>
  </si>
  <si>
    <t>Xã An Định</t>
  </si>
  <si>
    <t>Thạnh Phú</t>
  </si>
  <si>
    <t>Xã Hương Mỹ</t>
  </si>
  <si>
    <t>Xã Thạnh Phú</t>
  </si>
  <si>
    <t>Xã Quới Điền</t>
  </si>
  <si>
    <t>Xã Đại Điền</t>
  </si>
  <si>
    <t>Xã Thạnh Hải</t>
  </si>
  <si>
    <t>Xã An Qui</t>
  </si>
  <si>
    <t>Xã Thạnh Phong</t>
  </si>
  <si>
    <t>Xã Trung Thành</t>
  </si>
  <si>
    <t>Trung Thành</t>
  </si>
  <si>
    <t>Xã Quới An</t>
  </si>
  <si>
    <t>Xã Quới Thiện</t>
  </si>
  <si>
    <t>Xã Trung Hiệp</t>
  </si>
  <si>
    <t>Xã Trung Ngãi</t>
  </si>
  <si>
    <t>Xã Hiếu Phụng</t>
  </si>
  <si>
    <t>Xã Hiếu Thành</t>
  </si>
  <si>
    <t>Xã Cầu Ngang</t>
  </si>
  <si>
    <t>Trà Cú</t>
  </si>
  <si>
    <t>Xã Nhị Trường</t>
  </si>
  <si>
    <t>Xã Trà Cú</t>
  </si>
  <si>
    <t>Xã Tập Sơn</t>
  </si>
  <si>
    <t>Xã Lưu Nghiệp Anh</t>
  </si>
  <si>
    <t>Xã Hàm Giang</t>
  </si>
  <si>
    <t>Xã Đại An</t>
  </si>
  <si>
    <t>Xã Long Hiệp</t>
  </si>
  <si>
    <t>Phường Trà Vinh</t>
  </si>
  <si>
    <t>Trà Vinh</t>
  </si>
  <si>
    <t>Phường Nguyệt Hóa</t>
  </si>
  <si>
    <t>Phường Long Đức</t>
  </si>
  <si>
    <t>Xã Châu Thành</t>
  </si>
  <si>
    <t>Xã Song Lộc</t>
  </si>
  <si>
    <t>Phường Hòa Thuận</t>
  </si>
  <si>
    <t>Xã Hưng Mỹ</t>
  </si>
  <si>
    <t>Xã Hòa Minh</t>
  </si>
  <si>
    <t>Xã Long Hòa</t>
  </si>
  <si>
    <t>Xã Vinh Kim</t>
  </si>
  <si>
    <t>Xã Trà Ôn</t>
  </si>
  <si>
    <t>Trà Ôn</t>
  </si>
  <si>
    <t>Xã Hòa Bình</t>
  </si>
  <si>
    <t>Xã Trà Côn</t>
  </si>
  <si>
    <t>Xã Vĩnh Xuân</t>
  </si>
  <si>
    <t>Xã Lục Sĩ Thành</t>
  </si>
  <si>
    <t>Phường Long Châu</t>
  </si>
  <si>
    <t>Vĩnh Long</t>
  </si>
  <si>
    <t>Phường Phước Hậu</t>
  </si>
  <si>
    <t>Phường Tân Ngãi</t>
  </si>
  <si>
    <t>Phường Thanh Đức</t>
  </si>
  <si>
    <t>Phường Tân Hạnh</t>
  </si>
  <si>
    <t>Ngoài tỉnh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</si>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</sst>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164" fontId="2" fillId="0" borderId="1" xfId="1" applyNumberFormat="1" applyFont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4" fontId="3" fillId="0" borderId="1" xfId="0" applyNumberFormat="1" applyFont="1" applyBorder="1"/>
    <xf numFmtId="0" fontId="3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9"/>
  <sheetViews>
    <sheetView tabSelected="1" topLeftCell="A109" workbookViewId="0">
      <selection activeCell="E136" sqref="E136"/>
    </sheetView>
  </sheetViews>
  <sheetFormatPr defaultRowHeight="15" x14ac:dyDescent="0.25"/>
  <cols>
    <col min="1" max="1" width="4.42578125" customWidth="1"/>
    <col min="2" max="2" width="8.5703125" style="10" customWidth="1"/>
    <col min="3" max="3" width="17.85546875" customWidth="1"/>
    <col min="4" max="4" width="12.28515625" customWidth="1"/>
    <col min="5" max="7" width="10.7109375" bestFit="1" customWidth="1"/>
    <col min="8" max="10" width="10.5703125" bestFit="1" customWidth="1"/>
  </cols>
  <sheetData>
    <row r="1" spans="1:13" ht="2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3" ht="27.75" customHeight="1" x14ac:dyDescent="0.25">
      <c r="A2" s="14" t="s">
        <v>1</v>
      </c>
      <c r="B2" s="14" t="s">
        <v>2</v>
      </c>
      <c r="C2" s="14" t="s">
        <v>3</v>
      </c>
      <c r="D2" s="15" t="s">
        <v>4</v>
      </c>
      <c r="E2" s="14" t="s">
        <v>5</v>
      </c>
      <c r="F2" s="14"/>
      <c r="G2" s="14"/>
      <c r="H2" s="14" t="s">
        <v>6</v>
      </c>
      <c r="I2" s="14"/>
      <c r="J2" s="14"/>
      <c r="K2" s="11" t="s">
        <v>7</v>
      </c>
      <c r="L2" s="12"/>
      <c r="M2" s="12"/>
    </row>
    <row r="3" spans="1:13" ht="23.25" customHeight="1" x14ac:dyDescent="0.25">
      <c r="A3" s="14"/>
      <c r="B3" s="14"/>
      <c r="C3" s="14"/>
      <c r="D3" s="14"/>
      <c r="E3" s="1" t="s">
        <v>8</v>
      </c>
      <c r="F3" s="1" t="s">
        <v>9</v>
      </c>
      <c r="G3" s="1" t="s">
        <v>10</v>
      </c>
      <c r="H3" s="1" t="s">
        <v>8</v>
      </c>
      <c r="I3" s="1" t="s">
        <v>9</v>
      </c>
      <c r="J3" s="1" t="s">
        <v>10</v>
      </c>
      <c r="K3" s="1" t="s">
        <v>8</v>
      </c>
      <c r="L3" s="1" t="s">
        <v>9</v>
      </c>
      <c r="M3" s="1" t="s">
        <v>10</v>
      </c>
    </row>
    <row r="4" spans="1:13" x14ac:dyDescent="0.25">
      <c r="A4" s="2">
        <v>1</v>
      </c>
      <c r="B4" s="3">
        <v>29110</v>
      </c>
      <c r="C4" s="2" t="s">
        <v>11</v>
      </c>
      <c r="D4" s="2" t="s">
        <v>12</v>
      </c>
      <c r="E4" s="4">
        <v>3049</v>
      </c>
      <c r="F4" s="4">
        <v>34090</v>
      </c>
      <c r="G4" s="4">
        <v>2709</v>
      </c>
      <c r="H4" s="5">
        <v>3022</v>
      </c>
      <c r="I4" s="5">
        <v>33615</v>
      </c>
      <c r="J4" s="5">
        <v>2685</v>
      </c>
      <c r="K4" s="6">
        <f>H4-E4</f>
        <v>-27</v>
      </c>
      <c r="L4" s="6">
        <f>I4-F4</f>
        <v>-475</v>
      </c>
      <c r="M4" s="6">
        <f>J4-G4</f>
        <v>-24</v>
      </c>
    </row>
    <row r="5" spans="1:13" x14ac:dyDescent="0.25">
      <c r="A5" s="2">
        <v>2</v>
      </c>
      <c r="B5" s="7">
        <v>29122</v>
      </c>
      <c r="C5" s="2" t="s">
        <v>13</v>
      </c>
      <c r="D5" s="2" t="s">
        <v>12</v>
      </c>
      <c r="E5" s="4">
        <v>1843</v>
      </c>
      <c r="F5" s="4">
        <v>20152</v>
      </c>
      <c r="G5" s="4">
        <v>1651</v>
      </c>
      <c r="H5" s="5">
        <v>1829</v>
      </c>
      <c r="I5" s="5">
        <v>19839</v>
      </c>
      <c r="J5" s="5">
        <v>1635</v>
      </c>
      <c r="K5" s="6">
        <f t="shared" ref="K5:M68" si="0">H5-E5</f>
        <v>-14</v>
      </c>
      <c r="L5" s="6">
        <f t="shared" si="0"/>
        <v>-313</v>
      </c>
      <c r="M5" s="6">
        <f t="shared" si="0"/>
        <v>-16</v>
      </c>
    </row>
    <row r="6" spans="1:13" x14ac:dyDescent="0.25">
      <c r="A6" s="2">
        <v>3</v>
      </c>
      <c r="B6" s="7">
        <v>29125</v>
      </c>
      <c r="C6" s="2" t="s">
        <v>14</v>
      </c>
      <c r="D6" s="2" t="s">
        <v>12</v>
      </c>
      <c r="E6" s="4">
        <v>1111</v>
      </c>
      <c r="F6" s="4">
        <v>16235</v>
      </c>
      <c r="G6" s="4">
        <v>1005</v>
      </c>
      <c r="H6" s="5">
        <v>1098</v>
      </c>
      <c r="I6" s="5">
        <v>16411</v>
      </c>
      <c r="J6" s="5">
        <v>999</v>
      </c>
      <c r="K6" s="6">
        <f t="shared" si="0"/>
        <v>-13</v>
      </c>
      <c r="L6" s="6">
        <f t="shared" si="0"/>
        <v>176</v>
      </c>
      <c r="M6" s="6">
        <f t="shared" si="0"/>
        <v>-6</v>
      </c>
    </row>
    <row r="7" spans="1:13" x14ac:dyDescent="0.25">
      <c r="A7" s="2">
        <v>4</v>
      </c>
      <c r="B7" s="7">
        <v>29137</v>
      </c>
      <c r="C7" s="2" t="s">
        <v>15</v>
      </c>
      <c r="D7" s="2" t="s">
        <v>12</v>
      </c>
      <c r="E7" s="4">
        <v>1930</v>
      </c>
      <c r="F7" s="4">
        <v>29611</v>
      </c>
      <c r="G7" s="4">
        <v>1726</v>
      </c>
      <c r="H7" s="5">
        <v>1867</v>
      </c>
      <c r="I7" s="5">
        <v>29359</v>
      </c>
      <c r="J7" s="5">
        <v>1659</v>
      </c>
      <c r="K7" s="6">
        <f t="shared" si="0"/>
        <v>-63</v>
      </c>
      <c r="L7" s="6">
        <f t="shared" si="0"/>
        <v>-252</v>
      </c>
      <c r="M7" s="6">
        <f t="shared" si="0"/>
        <v>-67</v>
      </c>
    </row>
    <row r="8" spans="1:13" x14ac:dyDescent="0.25">
      <c r="A8" s="2">
        <v>5</v>
      </c>
      <c r="B8" s="7">
        <v>29143</v>
      </c>
      <c r="C8" s="2" t="s">
        <v>16</v>
      </c>
      <c r="D8" s="2" t="s">
        <v>12</v>
      </c>
      <c r="E8" s="4">
        <v>1598</v>
      </c>
      <c r="F8" s="4">
        <v>18931</v>
      </c>
      <c r="G8" s="4">
        <v>1463</v>
      </c>
      <c r="H8" s="5">
        <v>1587</v>
      </c>
      <c r="I8" s="5">
        <v>18561</v>
      </c>
      <c r="J8" s="5">
        <v>1450</v>
      </c>
      <c r="K8" s="6">
        <f t="shared" si="0"/>
        <v>-11</v>
      </c>
      <c r="L8" s="6">
        <f t="shared" si="0"/>
        <v>-370</v>
      </c>
      <c r="M8" s="6">
        <f t="shared" si="0"/>
        <v>-13</v>
      </c>
    </row>
    <row r="9" spans="1:13" x14ac:dyDescent="0.25">
      <c r="A9" s="2">
        <v>6</v>
      </c>
      <c r="B9" s="7">
        <v>29158</v>
      </c>
      <c r="C9" s="2" t="s">
        <v>17</v>
      </c>
      <c r="D9" s="2" t="s">
        <v>12</v>
      </c>
      <c r="E9" s="4">
        <v>1565</v>
      </c>
      <c r="F9" s="4">
        <v>25541</v>
      </c>
      <c r="G9" s="4">
        <v>1369</v>
      </c>
      <c r="H9" s="5">
        <v>1561</v>
      </c>
      <c r="I9" s="5">
        <v>25427</v>
      </c>
      <c r="J9" s="5">
        <v>1364</v>
      </c>
      <c r="K9" s="6">
        <f t="shared" si="0"/>
        <v>-4</v>
      </c>
      <c r="L9" s="6">
        <f t="shared" si="0"/>
        <v>-114</v>
      </c>
      <c r="M9" s="6">
        <f t="shared" si="0"/>
        <v>-5</v>
      </c>
    </row>
    <row r="10" spans="1:13" x14ac:dyDescent="0.25">
      <c r="A10" s="2">
        <v>7</v>
      </c>
      <c r="B10" s="7">
        <v>29167</v>
      </c>
      <c r="C10" s="2" t="s">
        <v>18</v>
      </c>
      <c r="D10" s="2" t="s">
        <v>12</v>
      </c>
      <c r="E10" s="4">
        <v>1458</v>
      </c>
      <c r="F10" s="4">
        <v>28296</v>
      </c>
      <c r="G10" s="4">
        <v>1293</v>
      </c>
      <c r="H10" s="5">
        <v>1444</v>
      </c>
      <c r="I10" s="5">
        <v>28201</v>
      </c>
      <c r="J10" s="5">
        <v>1279</v>
      </c>
      <c r="K10" s="6">
        <f t="shared" si="0"/>
        <v>-14</v>
      </c>
      <c r="L10" s="6">
        <f t="shared" si="0"/>
        <v>-95</v>
      </c>
      <c r="M10" s="6">
        <f t="shared" si="0"/>
        <v>-14</v>
      </c>
    </row>
    <row r="11" spans="1:13" x14ac:dyDescent="0.25">
      <c r="A11" s="2">
        <v>8</v>
      </c>
      <c r="B11" s="7">
        <v>29770</v>
      </c>
      <c r="C11" s="2" t="s">
        <v>19</v>
      </c>
      <c r="D11" s="2" t="s">
        <v>20</v>
      </c>
      <c r="E11" s="4">
        <v>3522</v>
      </c>
      <c r="F11" s="4">
        <v>27116</v>
      </c>
      <c r="G11" s="4">
        <v>3235</v>
      </c>
      <c r="H11" s="5">
        <v>3516</v>
      </c>
      <c r="I11" s="5">
        <v>26554</v>
      </c>
      <c r="J11" s="5">
        <v>3222</v>
      </c>
      <c r="K11" s="6">
        <f t="shared" si="0"/>
        <v>-6</v>
      </c>
      <c r="L11" s="6">
        <f t="shared" si="0"/>
        <v>-562</v>
      </c>
      <c r="M11" s="6">
        <f t="shared" si="0"/>
        <v>-13</v>
      </c>
    </row>
    <row r="12" spans="1:13" x14ac:dyDescent="0.25">
      <c r="A12" s="2">
        <v>9</v>
      </c>
      <c r="B12" s="7">
        <v>29771</v>
      </c>
      <c r="C12" s="2" t="s">
        <v>21</v>
      </c>
      <c r="D12" s="2" t="s">
        <v>20</v>
      </c>
      <c r="E12" s="4">
        <v>2354</v>
      </c>
      <c r="F12" s="4">
        <v>20859</v>
      </c>
      <c r="G12" s="4">
        <v>2209</v>
      </c>
      <c r="H12" s="5">
        <v>2355</v>
      </c>
      <c r="I12" s="5">
        <v>20799</v>
      </c>
      <c r="J12" s="5">
        <v>2194</v>
      </c>
      <c r="K12" s="6">
        <f t="shared" si="0"/>
        <v>1</v>
      </c>
      <c r="L12" s="6">
        <f t="shared" si="0"/>
        <v>-60</v>
      </c>
      <c r="M12" s="6">
        <f t="shared" si="0"/>
        <v>-15</v>
      </c>
    </row>
    <row r="13" spans="1:13" x14ac:dyDescent="0.25">
      <c r="A13" s="2">
        <v>10</v>
      </c>
      <c r="B13" s="7">
        <v>29785</v>
      </c>
      <c r="C13" s="2" t="s">
        <v>22</v>
      </c>
      <c r="D13" s="2" t="s">
        <v>20</v>
      </c>
      <c r="E13" s="4">
        <v>1574</v>
      </c>
      <c r="F13" s="4">
        <v>24688</v>
      </c>
      <c r="G13" s="4">
        <v>1409</v>
      </c>
      <c r="H13" s="5">
        <v>1540</v>
      </c>
      <c r="I13" s="5">
        <v>24174</v>
      </c>
      <c r="J13" s="5">
        <v>1386</v>
      </c>
      <c r="K13" s="6">
        <f t="shared" si="0"/>
        <v>-34</v>
      </c>
      <c r="L13" s="6">
        <f t="shared" si="0"/>
        <v>-514</v>
      </c>
      <c r="M13" s="6">
        <f t="shared" si="0"/>
        <v>-23</v>
      </c>
    </row>
    <row r="14" spans="1:13" x14ac:dyDescent="0.25">
      <c r="A14" s="2">
        <v>11</v>
      </c>
      <c r="B14" s="7">
        <v>29788</v>
      </c>
      <c r="C14" s="2" t="s">
        <v>23</v>
      </c>
      <c r="D14" s="2" t="s">
        <v>20</v>
      </c>
      <c r="E14" s="4">
        <v>2296</v>
      </c>
      <c r="F14" s="4">
        <v>24653</v>
      </c>
      <c r="G14" s="4">
        <v>2197</v>
      </c>
      <c r="H14" s="5">
        <v>2271</v>
      </c>
      <c r="I14" s="5">
        <v>24376</v>
      </c>
      <c r="J14" s="5">
        <v>2152</v>
      </c>
      <c r="K14" s="6">
        <f t="shared" si="0"/>
        <v>-25</v>
      </c>
      <c r="L14" s="6">
        <f t="shared" si="0"/>
        <v>-277</v>
      </c>
      <c r="M14" s="6">
        <f t="shared" si="0"/>
        <v>-45</v>
      </c>
    </row>
    <row r="15" spans="1:13" x14ac:dyDescent="0.25">
      <c r="A15" s="2">
        <v>12</v>
      </c>
      <c r="B15" s="7">
        <v>29800</v>
      </c>
      <c r="C15" s="2" t="s">
        <v>24</v>
      </c>
      <c r="D15" s="2" t="s">
        <v>20</v>
      </c>
      <c r="E15" s="4">
        <v>2737</v>
      </c>
      <c r="F15" s="4">
        <v>30500</v>
      </c>
      <c r="G15" s="4">
        <v>2545</v>
      </c>
      <c r="H15" s="5">
        <v>2731</v>
      </c>
      <c r="I15" s="5">
        <v>30025</v>
      </c>
      <c r="J15" s="5">
        <v>2515</v>
      </c>
      <c r="K15" s="6">
        <f t="shared" si="0"/>
        <v>-6</v>
      </c>
      <c r="L15" s="6">
        <f t="shared" si="0"/>
        <v>-475</v>
      </c>
      <c r="M15" s="6">
        <f t="shared" si="0"/>
        <v>-30</v>
      </c>
    </row>
    <row r="16" spans="1:13" x14ac:dyDescent="0.25">
      <c r="A16" s="2">
        <v>13</v>
      </c>
      <c r="B16" s="7">
        <v>29812</v>
      </c>
      <c r="C16" s="2" t="s">
        <v>25</v>
      </c>
      <c r="D16" s="2" t="s">
        <v>20</v>
      </c>
      <c r="E16" s="4">
        <v>4199</v>
      </c>
      <c r="F16" s="4">
        <v>26856</v>
      </c>
      <c r="G16" s="4">
        <v>3955</v>
      </c>
      <c r="H16" s="5">
        <v>4154</v>
      </c>
      <c r="I16" s="5">
        <v>26205</v>
      </c>
      <c r="J16" s="5">
        <v>3940</v>
      </c>
      <c r="K16" s="6">
        <f t="shared" si="0"/>
        <v>-45</v>
      </c>
      <c r="L16" s="6">
        <f t="shared" si="0"/>
        <v>-651</v>
      </c>
      <c r="M16" s="6">
        <f t="shared" si="0"/>
        <v>-15</v>
      </c>
    </row>
    <row r="17" spans="1:13" x14ac:dyDescent="0.25">
      <c r="A17" s="2">
        <v>14</v>
      </c>
      <c r="B17" s="7">
        <v>29050</v>
      </c>
      <c r="C17" s="2" t="s">
        <v>26</v>
      </c>
      <c r="D17" s="2" t="s">
        <v>27</v>
      </c>
      <c r="E17" s="4">
        <v>1584</v>
      </c>
      <c r="F17" s="4">
        <v>21369</v>
      </c>
      <c r="G17" s="4">
        <v>1343</v>
      </c>
      <c r="H17" s="5">
        <v>1565</v>
      </c>
      <c r="I17" s="5">
        <v>21101</v>
      </c>
      <c r="J17" s="5">
        <v>1334</v>
      </c>
      <c r="K17" s="6">
        <f t="shared" si="0"/>
        <v>-19</v>
      </c>
      <c r="L17" s="6">
        <f t="shared" si="0"/>
        <v>-268</v>
      </c>
      <c r="M17" s="6">
        <f t="shared" si="0"/>
        <v>-9</v>
      </c>
    </row>
    <row r="18" spans="1:13" x14ac:dyDescent="0.25">
      <c r="A18" s="2">
        <v>15</v>
      </c>
      <c r="B18" s="7">
        <v>29062</v>
      </c>
      <c r="C18" s="2" t="s">
        <v>28</v>
      </c>
      <c r="D18" s="2" t="s">
        <v>27</v>
      </c>
      <c r="E18" s="4">
        <v>1699</v>
      </c>
      <c r="F18" s="4">
        <v>12115</v>
      </c>
      <c r="G18" s="4">
        <v>1604</v>
      </c>
      <c r="H18" s="5">
        <v>1669</v>
      </c>
      <c r="I18" s="5">
        <v>11981</v>
      </c>
      <c r="J18" s="5">
        <v>1587</v>
      </c>
      <c r="K18" s="6">
        <f t="shared" si="0"/>
        <v>-30</v>
      </c>
      <c r="L18" s="6">
        <f t="shared" si="0"/>
        <v>-134</v>
      </c>
      <c r="M18" s="6">
        <f t="shared" si="0"/>
        <v>-17</v>
      </c>
    </row>
    <row r="19" spans="1:13" x14ac:dyDescent="0.25">
      <c r="A19" s="2">
        <v>16</v>
      </c>
      <c r="B19" s="7">
        <v>29077</v>
      </c>
      <c r="C19" s="2" t="s">
        <v>29</v>
      </c>
      <c r="D19" s="2" t="s">
        <v>27</v>
      </c>
      <c r="E19" s="4">
        <v>2089</v>
      </c>
      <c r="F19" s="4">
        <v>23287</v>
      </c>
      <c r="G19" s="4">
        <v>1938</v>
      </c>
      <c r="H19" s="5">
        <v>2071</v>
      </c>
      <c r="I19" s="5">
        <v>23188</v>
      </c>
      <c r="J19" s="5">
        <v>1918</v>
      </c>
      <c r="K19" s="6">
        <f t="shared" si="0"/>
        <v>-18</v>
      </c>
      <c r="L19" s="6">
        <f t="shared" si="0"/>
        <v>-99</v>
      </c>
      <c r="M19" s="6">
        <f t="shared" si="0"/>
        <v>-20</v>
      </c>
    </row>
    <row r="20" spans="1:13" x14ac:dyDescent="0.25">
      <c r="A20" s="2">
        <v>17</v>
      </c>
      <c r="B20" s="7">
        <v>29083</v>
      </c>
      <c r="C20" s="2" t="s">
        <v>30</v>
      </c>
      <c r="D20" s="2" t="s">
        <v>27</v>
      </c>
      <c r="E20" s="4">
        <v>2510</v>
      </c>
      <c r="F20" s="4">
        <v>18683</v>
      </c>
      <c r="G20" s="4">
        <v>2383</v>
      </c>
      <c r="H20" s="5">
        <v>2499</v>
      </c>
      <c r="I20" s="5">
        <v>18616</v>
      </c>
      <c r="J20" s="5">
        <v>2362</v>
      </c>
      <c r="K20" s="6">
        <f t="shared" si="0"/>
        <v>-11</v>
      </c>
      <c r="L20" s="6">
        <f t="shared" si="0"/>
        <v>-67</v>
      </c>
      <c r="M20" s="6">
        <f t="shared" si="0"/>
        <v>-21</v>
      </c>
    </row>
    <row r="21" spans="1:13" x14ac:dyDescent="0.25">
      <c r="A21" s="2">
        <v>18</v>
      </c>
      <c r="B21" s="7">
        <v>29089</v>
      </c>
      <c r="C21" s="2" t="s">
        <v>31</v>
      </c>
      <c r="D21" s="2" t="s">
        <v>27</v>
      </c>
      <c r="E21" s="4">
        <v>1557</v>
      </c>
      <c r="F21" s="4">
        <v>24480</v>
      </c>
      <c r="G21" s="4">
        <v>1381</v>
      </c>
      <c r="H21" s="5">
        <v>1538</v>
      </c>
      <c r="I21" s="5">
        <v>24399</v>
      </c>
      <c r="J21" s="5">
        <v>1360</v>
      </c>
      <c r="K21" s="6">
        <f t="shared" si="0"/>
        <v>-19</v>
      </c>
      <c r="L21" s="6">
        <f t="shared" si="0"/>
        <v>-81</v>
      </c>
      <c r="M21" s="6">
        <f t="shared" si="0"/>
        <v>-21</v>
      </c>
    </row>
    <row r="22" spans="1:13" x14ac:dyDescent="0.25">
      <c r="A22" s="2">
        <v>19</v>
      </c>
      <c r="B22" s="7">
        <v>29104</v>
      </c>
      <c r="C22" s="2" t="s">
        <v>32</v>
      </c>
      <c r="D22" s="2" t="s">
        <v>27</v>
      </c>
      <c r="E22" s="4">
        <v>1259</v>
      </c>
      <c r="F22" s="4">
        <v>18902</v>
      </c>
      <c r="G22" s="4">
        <v>1125</v>
      </c>
      <c r="H22" s="5">
        <v>1250</v>
      </c>
      <c r="I22" s="5">
        <v>18797</v>
      </c>
      <c r="J22" s="5">
        <v>1116</v>
      </c>
      <c r="K22" s="6">
        <f t="shared" si="0"/>
        <v>-9</v>
      </c>
      <c r="L22" s="6">
        <f t="shared" si="0"/>
        <v>-105</v>
      </c>
      <c r="M22" s="6">
        <f t="shared" si="0"/>
        <v>-9</v>
      </c>
    </row>
    <row r="23" spans="1:13" x14ac:dyDescent="0.25">
      <c r="A23" s="2">
        <v>20</v>
      </c>
      <c r="B23" s="7">
        <v>29107</v>
      </c>
      <c r="C23" s="2" t="s">
        <v>33</v>
      </c>
      <c r="D23" s="2" t="s">
        <v>27</v>
      </c>
      <c r="E23" s="4">
        <v>1021</v>
      </c>
      <c r="F23" s="4">
        <v>17080</v>
      </c>
      <c r="G23" s="4">
        <v>921</v>
      </c>
      <c r="H23" s="5">
        <v>1011</v>
      </c>
      <c r="I23" s="5">
        <v>16953</v>
      </c>
      <c r="J23" s="5">
        <v>906</v>
      </c>
      <c r="K23" s="6">
        <f t="shared" si="0"/>
        <v>-10</v>
      </c>
      <c r="L23" s="6">
        <f t="shared" si="0"/>
        <v>-127</v>
      </c>
      <c r="M23" s="6">
        <f t="shared" si="0"/>
        <v>-15</v>
      </c>
    </row>
    <row r="24" spans="1:13" x14ac:dyDescent="0.25">
      <c r="A24" s="2">
        <v>21</v>
      </c>
      <c r="B24" s="7">
        <v>28756</v>
      </c>
      <c r="C24" s="2" t="s">
        <v>34</v>
      </c>
      <c r="D24" s="2" t="s">
        <v>35</v>
      </c>
      <c r="E24" s="4">
        <v>5287</v>
      </c>
      <c r="F24" s="4">
        <v>33966</v>
      </c>
      <c r="G24" s="4">
        <v>4740</v>
      </c>
      <c r="H24" s="5">
        <v>5219</v>
      </c>
      <c r="I24" s="5">
        <v>33410</v>
      </c>
      <c r="J24" s="5">
        <v>4683</v>
      </c>
      <c r="K24" s="6">
        <f t="shared" si="0"/>
        <v>-68</v>
      </c>
      <c r="L24" s="6">
        <f t="shared" si="0"/>
        <v>-556</v>
      </c>
      <c r="M24" s="6">
        <f t="shared" si="0"/>
        <v>-57</v>
      </c>
    </row>
    <row r="25" spans="1:13" x14ac:dyDescent="0.25">
      <c r="A25" s="2">
        <v>22</v>
      </c>
      <c r="B25" s="7">
        <v>28777</v>
      </c>
      <c r="C25" s="2" t="s">
        <v>36</v>
      </c>
      <c r="D25" s="2" t="s">
        <v>35</v>
      </c>
      <c r="E25" s="4">
        <v>4924</v>
      </c>
      <c r="F25" s="4">
        <v>38743</v>
      </c>
      <c r="G25" s="4">
        <v>4311</v>
      </c>
      <c r="H25" s="5">
        <v>4875</v>
      </c>
      <c r="I25" s="5">
        <v>38133</v>
      </c>
      <c r="J25" s="5">
        <v>4265</v>
      </c>
      <c r="K25" s="6">
        <f t="shared" si="0"/>
        <v>-49</v>
      </c>
      <c r="L25" s="6">
        <f t="shared" si="0"/>
        <v>-610</v>
      </c>
      <c r="M25" s="6">
        <f t="shared" si="0"/>
        <v>-46</v>
      </c>
    </row>
    <row r="26" spans="1:13" x14ac:dyDescent="0.25">
      <c r="A26" s="2">
        <v>23</v>
      </c>
      <c r="B26" s="7">
        <v>28783</v>
      </c>
      <c r="C26" s="2" t="s">
        <v>37</v>
      </c>
      <c r="D26" s="2" t="s">
        <v>35</v>
      </c>
      <c r="E26" s="4">
        <v>3640</v>
      </c>
      <c r="F26" s="4">
        <v>25621</v>
      </c>
      <c r="G26" s="4">
        <v>3300</v>
      </c>
      <c r="H26" s="5">
        <v>3596</v>
      </c>
      <c r="I26" s="5">
        <v>25761</v>
      </c>
      <c r="J26" s="5">
        <v>3261</v>
      </c>
      <c r="K26" s="6">
        <f t="shared" si="0"/>
        <v>-44</v>
      </c>
      <c r="L26" s="6">
        <f t="shared" si="0"/>
        <v>140</v>
      </c>
      <c r="M26" s="6">
        <f t="shared" si="0"/>
        <v>-39</v>
      </c>
    </row>
    <row r="27" spans="1:13" x14ac:dyDescent="0.25">
      <c r="A27" s="2">
        <v>24</v>
      </c>
      <c r="B27" s="7">
        <v>28789</v>
      </c>
      <c r="C27" s="2" t="s">
        <v>38</v>
      </c>
      <c r="D27" s="2" t="s">
        <v>35</v>
      </c>
      <c r="E27" s="4">
        <v>3115</v>
      </c>
      <c r="F27" s="4">
        <v>24485</v>
      </c>
      <c r="G27" s="4">
        <v>2763</v>
      </c>
      <c r="H27" s="5">
        <v>3067</v>
      </c>
      <c r="I27" s="5">
        <v>24034</v>
      </c>
      <c r="J27" s="5">
        <v>2732</v>
      </c>
      <c r="K27" s="6">
        <f t="shared" si="0"/>
        <v>-48</v>
      </c>
      <c r="L27" s="6">
        <f t="shared" si="0"/>
        <v>-451</v>
      </c>
      <c r="M27" s="6">
        <f t="shared" si="0"/>
        <v>-31</v>
      </c>
    </row>
    <row r="28" spans="1:13" x14ac:dyDescent="0.25">
      <c r="A28" s="2">
        <v>25</v>
      </c>
      <c r="B28" s="7">
        <v>28807</v>
      </c>
      <c r="C28" s="2" t="s">
        <v>39</v>
      </c>
      <c r="D28" s="2" t="s">
        <v>35</v>
      </c>
      <c r="E28" s="4">
        <v>5264</v>
      </c>
      <c r="F28" s="4">
        <v>34831</v>
      </c>
      <c r="G28" s="4">
        <v>4762</v>
      </c>
      <c r="H28" s="5">
        <v>5265</v>
      </c>
      <c r="I28" s="5">
        <v>34560</v>
      </c>
      <c r="J28" s="5">
        <v>4766</v>
      </c>
      <c r="K28" s="6">
        <f t="shared" si="0"/>
        <v>1</v>
      </c>
      <c r="L28" s="6">
        <f t="shared" si="0"/>
        <v>-271</v>
      </c>
      <c r="M28" s="6">
        <f t="shared" si="0"/>
        <v>4</v>
      </c>
    </row>
    <row r="29" spans="1:13" x14ac:dyDescent="0.25">
      <c r="A29" s="2">
        <v>26</v>
      </c>
      <c r="B29" s="7">
        <v>28810</v>
      </c>
      <c r="C29" s="2" t="s">
        <v>40</v>
      </c>
      <c r="D29" s="2" t="s">
        <v>35</v>
      </c>
      <c r="E29" s="4">
        <v>5448</v>
      </c>
      <c r="F29" s="4">
        <v>53060</v>
      </c>
      <c r="G29" s="4">
        <v>5062</v>
      </c>
      <c r="H29" s="5">
        <v>5430</v>
      </c>
      <c r="I29" s="5">
        <v>52629</v>
      </c>
      <c r="J29" s="5">
        <v>5028</v>
      </c>
      <c r="K29" s="6">
        <f t="shared" si="0"/>
        <v>-18</v>
      </c>
      <c r="L29" s="6">
        <f t="shared" si="0"/>
        <v>-431</v>
      </c>
      <c r="M29" s="6">
        <f t="shared" si="0"/>
        <v>-34</v>
      </c>
    </row>
    <row r="30" spans="1:13" x14ac:dyDescent="0.25">
      <c r="A30" s="2">
        <v>27</v>
      </c>
      <c r="B30" s="7">
        <v>28840</v>
      </c>
      <c r="C30" s="2" t="s">
        <v>41</v>
      </c>
      <c r="D30" s="2" t="s">
        <v>35</v>
      </c>
      <c r="E30" s="4">
        <v>1663</v>
      </c>
      <c r="F30" s="4">
        <v>27857</v>
      </c>
      <c r="G30" s="4">
        <v>1511</v>
      </c>
      <c r="H30" s="5">
        <v>1644</v>
      </c>
      <c r="I30" s="5">
        <v>27649</v>
      </c>
      <c r="J30" s="5">
        <v>1433</v>
      </c>
      <c r="K30" s="6">
        <f t="shared" si="0"/>
        <v>-19</v>
      </c>
      <c r="L30" s="6">
        <f t="shared" si="0"/>
        <v>-208</v>
      </c>
      <c r="M30" s="6">
        <f t="shared" si="0"/>
        <v>-78</v>
      </c>
    </row>
    <row r="31" spans="1:13" x14ac:dyDescent="0.25">
      <c r="A31" s="2">
        <v>28</v>
      </c>
      <c r="B31" s="7">
        <v>28858</v>
      </c>
      <c r="C31" s="2" t="s">
        <v>42</v>
      </c>
      <c r="D31" s="2" t="s">
        <v>35</v>
      </c>
      <c r="E31" s="4">
        <v>3007</v>
      </c>
      <c r="F31" s="4">
        <v>23566</v>
      </c>
      <c r="G31" s="4">
        <v>2727</v>
      </c>
      <c r="H31" s="5">
        <v>2987</v>
      </c>
      <c r="I31" s="5">
        <v>23403</v>
      </c>
      <c r="J31" s="5">
        <v>2722</v>
      </c>
      <c r="K31" s="6">
        <f t="shared" si="0"/>
        <v>-20</v>
      </c>
      <c r="L31" s="6">
        <f t="shared" si="0"/>
        <v>-163</v>
      </c>
      <c r="M31" s="6">
        <f t="shared" si="0"/>
        <v>-5</v>
      </c>
    </row>
    <row r="32" spans="1:13" x14ac:dyDescent="0.25">
      <c r="A32" s="2">
        <v>29</v>
      </c>
      <c r="B32" s="7">
        <v>28861</v>
      </c>
      <c r="C32" s="2" t="s">
        <v>43</v>
      </c>
      <c r="D32" s="2" t="s">
        <v>35</v>
      </c>
      <c r="E32" s="4">
        <v>2159</v>
      </c>
      <c r="F32" s="4">
        <v>25438</v>
      </c>
      <c r="G32" s="4">
        <v>2021</v>
      </c>
      <c r="H32" s="5">
        <v>2155</v>
      </c>
      <c r="I32" s="5">
        <v>25241</v>
      </c>
      <c r="J32" s="5">
        <v>1919</v>
      </c>
      <c r="K32" s="6">
        <f t="shared" si="0"/>
        <v>-4</v>
      </c>
      <c r="L32" s="6">
        <f t="shared" si="0"/>
        <v>-197</v>
      </c>
      <c r="M32" s="6">
        <f t="shared" si="0"/>
        <v>-102</v>
      </c>
    </row>
    <row r="33" spans="1:13" x14ac:dyDescent="0.25">
      <c r="A33" s="2">
        <v>30</v>
      </c>
      <c r="B33" s="7">
        <v>28870</v>
      </c>
      <c r="C33" s="2" t="s">
        <v>44</v>
      </c>
      <c r="D33" s="2" t="s">
        <v>45</v>
      </c>
      <c r="E33" s="4">
        <v>1790</v>
      </c>
      <c r="F33" s="4">
        <v>31235</v>
      </c>
      <c r="G33" s="4">
        <v>1523</v>
      </c>
      <c r="H33" s="5">
        <v>1730</v>
      </c>
      <c r="I33" s="5">
        <v>30800</v>
      </c>
      <c r="J33" s="5">
        <v>1487</v>
      </c>
      <c r="K33" s="6">
        <f t="shared" si="0"/>
        <v>-60</v>
      </c>
      <c r="L33" s="6">
        <f t="shared" si="0"/>
        <v>-435</v>
      </c>
      <c r="M33" s="6">
        <f t="shared" si="0"/>
        <v>-36</v>
      </c>
    </row>
    <row r="34" spans="1:13" x14ac:dyDescent="0.25">
      <c r="A34" s="2">
        <v>31</v>
      </c>
      <c r="B34" s="7">
        <v>28879</v>
      </c>
      <c r="C34" s="2" t="s">
        <v>46</v>
      </c>
      <c r="D34" s="2" t="s">
        <v>45</v>
      </c>
      <c r="E34" s="4">
        <v>1294</v>
      </c>
      <c r="F34" s="4">
        <v>25410</v>
      </c>
      <c r="G34" s="4">
        <v>1113</v>
      </c>
      <c r="H34" s="5">
        <v>1266</v>
      </c>
      <c r="I34" s="5">
        <v>25099</v>
      </c>
      <c r="J34" s="5">
        <v>1097</v>
      </c>
      <c r="K34" s="6">
        <f t="shared" si="0"/>
        <v>-28</v>
      </c>
      <c r="L34" s="6">
        <f t="shared" si="0"/>
        <v>-311</v>
      </c>
      <c r="M34" s="6">
        <f t="shared" si="0"/>
        <v>-16</v>
      </c>
    </row>
    <row r="35" spans="1:13" x14ac:dyDescent="0.25">
      <c r="A35" s="2">
        <v>32</v>
      </c>
      <c r="B35" s="7">
        <v>28894</v>
      </c>
      <c r="C35" s="2" t="s">
        <v>47</v>
      </c>
      <c r="D35" s="2" t="s">
        <v>45</v>
      </c>
      <c r="E35" s="4">
        <v>1334</v>
      </c>
      <c r="F35" s="4">
        <v>29161</v>
      </c>
      <c r="G35" s="4">
        <v>1155</v>
      </c>
      <c r="H35" s="5">
        <v>1313</v>
      </c>
      <c r="I35" s="5">
        <v>28686</v>
      </c>
      <c r="J35" s="5">
        <v>1130</v>
      </c>
      <c r="K35" s="6">
        <f t="shared" si="0"/>
        <v>-21</v>
      </c>
      <c r="L35" s="6">
        <f t="shared" si="0"/>
        <v>-475</v>
      </c>
      <c r="M35" s="6">
        <f t="shared" si="0"/>
        <v>-25</v>
      </c>
    </row>
    <row r="36" spans="1:13" x14ac:dyDescent="0.25">
      <c r="A36" s="2">
        <v>33</v>
      </c>
      <c r="B36" s="7">
        <v>28901</v>
      </c>
      <c r="C36" s="2" t="s">
        <v>48</v>
      </c>
      <c r="D36" s="2" t="s">
        <v>45</v>
      </c>
      <c r="E36" s="4">
        <v>1364</v>
      </c>
      <c r="F36" s="4">
        <v>19345</v>
      </c>
      <c r="G36" s="4">
        <v>1179</v>
      </c>
      <c r="H36" s="5">
        <v>1358</v>
      </c>
      <c r="I36" s="5">
        <v>18874</v>
      </c>
      <c r="J36" s="5">
        <v>1167</v>
      </c>
      <c r="K36" s="6">
        <f t="shared" si="0"/>
        <v>-6</v>
      </c>
      <c r="L36" s="6">
        <f t="shared" si="0"/>
        <v>-471</v>
      </c>
      <c r="M36" s="6">
        <f t="shared" si="0"/>
        <v>-12</v>
      </c>
    </row>
    <row r="37" spans="1:13" x14ac:dyDescent="0.25">
      <c r="A37" s="2">
        <v>34</v>
      </c>
      <c r="B37" s="7">
        <v>28903</v>
      </c>
      <c r="C37" s="2" t="s">
        <v>49</v>
      </c>
      <c r="D37" s="2" t="s">
        <v>45</v>
      </c>
      <c r="E37" s="4">
        <v>2892</v>
      </c>
      <c r="F37" s="4">
        <v>34594</v>
      </c>
      <c r="G37" s="4">
        <v>2601</v>
      </c>
      <c r="H37" s="5">
        <v>2867</v>
      </c>
      <c r="I37" s="5">
        <v>34145</v>
      </c>
      <c r="J37" s="5">
        <v>2589</v>
      </c>
      <c r="K37" s="6">
        <f t="shared" si="0"/>
        <v>-25</v>
      </c>
      <c r="L37" s="6">
        <f t="shared" si="0"/>
        <v>-449</v>
      </c>
      <c r="M37" s="6">
        <f t="shared" si="0"/>
        <v>-12</v>
      </c>
    </row>
    <row r="38" spans="1:13" x14ac:dyDescent="0.25">
      <c r="A38" s="2">
        <v>35</v>
      </c>
      <c r="B38" s="7">
        <v>28915</v>
      </c>
      <c r="C38" s="2" t="s">
        <v>50</v>
      </c>
      <c r="D38" s="2" t="s">
        <v>45</v>
      </c>
      <c r="E38" s="4">
        <v>2369</v>
      </c>
      <c r="F38" s="4">
        <v>30471</v>
      </c>
      <c r="G38" s="4">
        <v>2099</v>
      </c>
      <c r="H38" s="5">
        <v>2362</v>
      </c>
      <c r="I38" s="5">
        <v>30440</v>
      </c>
      <c r="J38" s="5">
        <v>2080</v>
      </c>
      <c r="K38" s="6">
        <f t="shared" si="0"/>
        <v>-7</v>
      </c>
      <c r="L38" s="6">
        <f t="shared" si="0"/>
        <v>-31</v>
      </c>
      <c r="M38" s="6">
        <f t="shared" si="0"/>
        <v>-19</v>
      </c>
    </row>
    <row r="39" spans="1:13" x14ac:dyDescent="0.25">
      <c r="A39" s="2">
        <v>36</v>
      </c>
      <c r="B39" s="7">
        <v>28921</v>
      </c>
      <c r="C39" s="2" t="s">
        <v>51</v>
      </c>
      <c r="D39" s="2" t="s">
        <v>45</v>
      </c>
      <c r="E39" s="4">
        <v>3368</v>
      </c>
      <c r="F39" s="4">
        <v>38661</v>
      </c>
      <c r="G39" s="4">
        <v>3033</v>
      </c>
      <c r="H39" s="5">
        <v>3333</v>
      </c>
      <c r="I39" s="5">
        <v>38630</v>
      </c>
      <c r="J39" s="5">
        <v>3006</v>
      </c>
      <c r="K39" s="6">
        <f t="shared" si="0"/>
        <v>-35</v>
      </c>
      <c r="L39" s="6">
        <f t="shared" si="0"/>
        <v>-31</v>
      </c>
      <c r="M39" s="6">
        <f t="shared" si="0"/>
        <v>-27</v>
      </c>
    </row>
    <row r="40" spans="1:13" x14ac:dyDescent="0.25">
      <c r="A40" s="2">
        <v>37</v>
      </c>
      <c r="B40" s="7">
        <v>28945</v>
      </c>
      <c r="C40" s="2" t="s">
        <v>52</v>
      </c>
      <c r="D40" s="2" t="s">
        <v>45</v>
      </c>
      <c r="E40" s="4">
        <v>2228</v>
      </c>
      <c r="F40" s="4">
        <v>29360</v>
      </c>
      <c r="G40" s="4">
        <v>1990</v>
      </c>
      <c r="H40" s="5">
        <v>2227</v>
      </c>
      <c r="I40" s="5">
        <v>29296</v>
      </c>
      <c r="J40" s="5">
        <v>1979</v>
      </c>
      <c r="K40" s="6">
        <f t="shared" si="0"/>
        <v>-1</v>
      </c>
      <c r="L40" s="6">
        <f t="shared" si="0"/>
        <v>-64</v>
      </c>
      <c r="M40" s="6">
        <f t="shared" si="0"/>
        <v>-11</v>
      </c>
    </row>
    <row r="41" spans="1:13" x14ac:dyDescent="0.25">
      <c r="A41" s="2">
        <v>38</v>
      </c>
      <c r="B41" s="7">
        <v>28948</v>
      </c>
      <c r="C41" s="2" t="s">
        <v>53</v>
      </c>
      <c r="D41" s="2" t="s">
        <v>45</v>
      </c>
      <c r="E41" s="4">
        <v>1945</v>
      </c>
      <c r="F41" s="4">
        <v>32928</v>
      </c>
      <c r="G41" s="4">
        <v>1714</v>
      </c>
      <c r="H41" s="5">
        <v>1948</v>
      </c>
      <c r="I41" s="5">
        <v>33145</v>
      </c>
      <c r="J41" s="5">
        <v>1705</v>
      </c>
      <c r="K41" s="6">
        <f t="shared" si="0"/>
        <v>3</v>
      </c>
      <c r="L41" s="6">
        <f t="shared" si="0"/>
        <v>217</v>
      </c>
      <c r="M41" s="6">
        <f t="shared" si="0"/>
        <v>-9</v>
      </c>
    </row>
    <row r="42" spans="1:13" x14ac:dyDescent="0.25">
      <c r="A42" s="2">
        <v>39</v>
      </c>
      <c r="B42" s="7">
        <v>28969</v>
      </c>
      <c r="C42" s="2" t="s">
        <v>54</v>
      </c>
      <c r="D42" s="2" t="s">
        <v>45</v>
      </c>
      <c r="E42" s="4">
        <v>1662</v>
      </c>
      <c r="F42" s="4">
        <v>28721</v>
      </c>
      <c r="G42" s="4">
        <v>1478</v>
      </c>
      <c r="H42" s="5">
        <v>1672</v>
      </c>
      <c r="I42" s="5">
        <v>28748</v>
      </c>
      <c r="J42" s="5">
        <v>1483</v>
      </c>
      <c r="K42" s="6">
        <f t="shared" si="0"/>
        <v>10</v>
      </c>
      <c r="L42" s="6">
        <f t="shared" si="0"/>
        <v>27</v>
      </c>
      <c r="M42" s="6">
        <f t="shared" si="0"/>
        <v>5</v>
      </c>
    </row>
    <row r="43" spans="1:13" x14ac:dyDescent="0.25">
      <c r="A43" s="2">
        <v>40</v>
      </c>
      <c r="B43" s="7">
        <v>29266</v>
      </c>
      <c r="C43" s="2" t="s">
        <v>55</v>
      </c>
      <c r="D43" s="2" t="s">
        <v>56</v>
      </c>
      <c r="E43" s="4">
        <v>2831</v>
      </c>
      <c r="F43" s="4">
        <v>34503</v>
      </c>
      <c r="G43" s="4">
        <v>2549</v>
      </c>
      <c r="H43" s="5">
        <v>2785</v>
      </c>
      <c r="I43" s="5">
        <v>34228</v>
      </c>
      <c r="J43" s="5">
        <v>2507</v>
      </c>
      <c r="K43" s="6">
        <f t="shared" si="0"/>
        <v>-46</v>
      </c>
      <c r="L43" s="6">
        <f t="shared" si="0"/>
        <v>-275</v>
      </c>
      <c r="M43" s="6">
        <f t="shared" si="0"/>
        <v>-42</v>
      </c>
    </row>
    <row r="44" spans="1:13" x14ac:dyDescent="0.25">
      <c r="A44" s="2">
        <v>41</v>
      </c>
      <c r="B44" s="7">
        <v>29275</v>
      </c>
      <c r="C44" s="2" t="s">
        <v>57</v>
      </c>
      <c r="D44" s="2" t="s">
        <v>56</v>
      </c>
      <c r="E44" s="4">
        <v>3034</v>
      </c>
      <c r="F44" s="4">
        <v>37311</v>
      </c>
      <c r="G44" s="4">
        <v>2723</v>
      </c>
      <c r="H44" s="5">
        <v>3021</v>
      </c>
      <c r="I44" s="5">
        <v>36975</v>
      </c>
      <c r="J44" s="5">
        <v>2709</v>
      </c>
      <c r="K44" s="6">
        <f t="shared" si="0"/>
        <v>-13</v>
      </c>
      <c r="L44" s="6">
        <f t="shared" si="0"/>
        <v>-336</v>
      </c>
      <c r="M44" s="6">
        <f t="shared" si="0"/>
        <v>-14</v>
      </c>
    </row>
    <row r="45" spans="1:13" x14ac:dyDescent="0.25">
      <c r="A45" s="2">
        <v>42</v>
      </c>
      <c r="B45" s="7">
        <v>29278</v>
      </c>
      <c r="C45" s="2" t="s">
        <v>58</v>
      </c>
      <c r="D45" s="2" t="s">
        <v>56</v>
      </c>
      <c r="E45" s="4">
        <v>2324</v>
      </c>
      <c r="F45" s="4">
        <v>24375</v>
      </c>
      <c r="G45" s="4">
        <v>2150</v>
      </c>
      <c r="H45" s="5">
        <v>2292</v>
      </c>
      <c r="I45" s="5">
        <v>24255</v>
      </c>
      <c r="J45" s="5">
        <v>2123</v>
      </c>
      <c r="K45" s="6">
        <f t="shared" si="0"/>
        <v>-32</v>
      </c>
      <c r="L45" s="6">
        <f t="shared" si="0"/>
        <v>-120</v>
      </c>
      <c r="M45" s="6">
        <f t="shared" si="0"/>
        <v>-27</v>
      </c>
    </row>
    <row r="46" spans="1:13" x14ac:dyDescent="0.25">
      <c r="A46" s="2">
        <v>43</v>
      </c>
      <c r="B46" s="7">
        <v>29287</v>
      </c>
      <c r="C46" s="2" t="s">
        <v>59</v>
      </c>
      <c r="D46" s="2" t="s">
        <v>56</v>
      </c>
      <c r="E46" s="4">
        <v>2784</v>
      </c>
      <c r="F46" s="4">
        <v>30630</v>
      </c>
      <c r="G46" s="4">
        <v>2553</v>
      </c>
      <c r="H46" s="5">
        <v>2751</v>
      </c>
      <c r="I46" s="5">
        <v>30520</v>
      </c>
      <c r="J46" s="5">
        <v>2519</v>
      </c>
      <c r="K46" s="6">
        <f t="shared" si="0"/>
        <v>-33</v>
      </c>
      <c r="L46" s="6">
        <f t="shared" si="0"/>
        <v>-110</v>
      </c>
      <c r="M46" s="6">
        <f t="shared" si="0"/>
        <v>-34</v>
      </c>
    </row>
    <row r="47" spans="1:13" x14ac:dyDescent="0.25">
      <c r="A47" s="2">
        <v>44</v>
      </c>
      <c r="B47" s="7">
        <v>29302</v>
      </c>
      <c r="C47" s="2" t="s">
        <v>60</v>
      </c>
      <c r="D47" s="2" t="s">
        <v>56</v>
      </c>
      <c r="E47" s="4">
        <v>2171</v>
      </c>
      <c r="F47" s="4">
        <v>30359</v>
      </c>
      <c r="G47" s="4">
        <v>1990</v>
      </c>
      <c r="H47" s="5">
        <v>2144</v>
      </c>
      <c r="I47" s="5">
        <v>30094</v>
      </c>
      <c r="J47" s="5">
        <v>1957</v>
      </c>
      <c r="K47" s="6">
        <f t="shared" si="0"/>
        <v>-27</v>
      </c>
      <c r="L47" s="6">
        <f t="shared" si="0"/>
        <v>-265</v>
      </c>
      <c r="M47" s="6">
        <f t="shared" si="0"/>
        <v>-33</v>
      </c>
    </row>
    <row r="48" spans="1:13" x14ac:dyDescent="0.25">
      <c r="A48" s="2">
        <v>45</v>
      </c>
      <c r="B48" s="7">
        <v>29308</v>
      </c>
      <c r="C48" s="2" t="s">
        <v>61</v>
      </c>
      <c r="D48" s="2" t="s">
        <v>62</v>
      </c>
      <c r="E48" s="4">
        <v>1659</v>
      </c>
      <c r="F48" s="4">
        <v>26731</v>
      </c>
      <c r="G48" s="4">
        <v>1437</v>
      </c>
      <c r="H48" s="5">
        <v>1653</v>
      </c>
      <c r="I48" s="5">
        <v>26717</v>
      </c>
      <c r="J48" s="5">
        <v>1424</v>
      </c>
      <c r="K48" s="6">
        <f t="shared" si="0"/>
        <v>-6</v>
      </c>
      <c r="L48" s="6">
        <f t="shared" si="0"/>
        <v>-14</v>
      </c>
      <c r="M48" s="6">
        <f t="shared" si="0"/>
        <v>-13</v>
      </c>
    </row>
    <row r="49" spans="1:13" x14ac:dyDescent="0.25">
      <c r="A49" s="2">
        <v>46</v>
      </c>
      <c r="B49" s="7">
        <v>29317</v>
      </c>
      <c r="C49" s="2" t="s">
        <v>63</v>
      </c>
      <c r="D49" s="2" t="s">
        <v>62</v>
      </c>
      <c r="E49" s="4">
        <v>1002</v>
      </c>
      <c r="F49" s="4">
        <v>22572</v>
      </c>
      <c r="G49" s="4">
        <v>864</v>
      </c>
      <c r="H49" s="5">
        <v>990</v>
      </c>
      <c r="I49" s="5">
        <v>22551</v>
      </c>
      <c r="J49" s="5">
        <v>845</v>
      </c>
      <c r="K49" s="6">
        <f t="shared" si="0"/>
        <v>-12</v>
      </c>
      <c r="L49" s="6">
        <f t="shared" si="0"/>
        <v>-21</v>
      </c>
      <c r="M49" s="6">
        <f t="shared" si="0"/>
        <v>-19</v>
      </c>
    </row>
    <row r="50" spans="1:13" x14ac:dyDescent="0.25">
      <c r="A50" s="2">
        <v>47</v>
      </c>
      <c r="B50" s="7">
        <v>29329</v>
      </c>
      <c r="C50" s="2" t="s">
        <v>64</v>
      </c>
      <c r="D50" s="2" t="s">
        <v>62</v>
      </c>
      <c r="E50" s="4">
        <v>1786</v>
      </c>
      <c r="F50" s="4">
        <v>32623</v>
      </c>
      <c r="G50" s="4">
        <v>1594</v>
      </c>
      <c r="H50" s="5">
        <v>1771</v>
      </c>
      <c r="I50" s="5">
        <v>32547</v>
      </c>
      <c r="J50" s="5">
        <v>1578</v>
      </c>
      <c r="K50" s="6">
        <f t="shared" si="0"/>
        <v>-15</v>
      </c>
      <c r="L50" s="6">
        <f t="shared" si="0"/>
        <v>-76</v>
      </c>
      <c r="M50" s="6">
        <f t="shared" si="0"/>
        <v>-16</v>
      </c>
    </row>
    <row r="51" spans="1:13" x14ac:dyDescent="0.25">
      <c r="A51" s="2">
        <v>48</v>
      </c>
      <c r="B51" s="7">
        <v>29335</v>
      </c>
      <c r="C51" s="2" t="s">
        <v>65</v>
      </c>
      <c r="D51" s="2" t="s">
        <v>62</v>
      </c>
      <c r="E51" s="4">
        <v>1606</v>
      </c>
      <c r="F51" s="4">
        <v>33341</v>
      </c>
      <c r="G51" s="4">
        <v>1400</v>
      </c>
      <c r="H51" s="5">
        <v>1597</v>
      </c>
      <c r="I51" s="5">
        <v>33284</v>
      </c>
      <c r="J51" s="5">
        <v>1387</v>
      </c>
      <c r="K51" s="6">
        <f t="shared" si="0"/>
        <v>-9</v>
      </c>
      <c r="L51" s="6">
        <f t="shared" si="0"/>
        <v>-57</v>
      </c>
      <c r="M51" s="6">
        <f t="shared" si="0"/>
        <v>-13</v>
      </c>
    </row>
    <row r="52" spans="1:13" x14ac:dyDescent="0.25">
      <c r="A52" s="2">
        <v>49</v>
      </c>
      <c r="B52" s="7">
        <v>29341</v>
      </c>
      <c r="C52" s="2" t="s">
        <v>66</v>
      </c>
      <c r="D52" s="2" t="s">
        <v>62</v>
      </c>
      <c r="E52" s="4">
        <v>3084</v>
      </c>
      <c r="F52" s="4">
        <v>28598</v>
      </c>
      <c r="G52" s="4">
        <v>2797</v>
      </c>
      <c r="H52" s="5">
        <v>3065</v>
      </c>
      <c r="I52" s="5">
        <v>28567</v>
      </c>
      <c r="J52" s="5">
        <v>2780</v>
      </c>
      <c r="K52" s="6">
        <f t="shared" si="0"/>
        <v>-19</v>
      </c>
      <c r="L52" s="6">
        <f t="shared" si="0"/>
        <v>-31</v>
      </c>
      <c r="M52" s="6">
        <f t="shared" si="0"/>
        <v>-17</v>
      </c>
    </row>
    <row r="53" spans="1:13" x14ac:dyDescent="0.25">
      <c r="A53" s="2">
        <v>50</v>
      </c>
      <c r="B53" s="7">
        <v>29362</v>
      </c>
      <c r="C53" s="2" t="s">
        <v>67</v>
      </c>
      <c r="D53" s="2" t="s">
        <v>62</v>
      </c>
      <c r="E53" s="4">
        <v>2123</v>
      </c>
      <c r="F53" s="4">
        <v>23837</v>
      </c>
      <c r="G53" s="4">
        <v>1898</v>
      </c>
      <c r="H53" s="5">
        <v>2100</v>
      </c>
      <c r="I53" s="5">
        <v>23797</v>
      </c>
      <c r="J53" s="5">
        <v>1873</v>
      </c>
      <c r="K53" s="6">
        <f t="shared" si="0"/>
        <v>-23</v>
      </c>
      <c r="L53" s="6">
        <f t="shared" si="0"/>
        <v>-40</v>
      </c>
      <c r="M53" s="6">
        <f t="shared" si="0"/>
        <v>-25</v>
      </c>
    </row>
    <row r="54" spans="1:13" x14ac:dyDescent="0.25">
      <c r="A54" s="2">
        <v>51</v>
      </c>
      <c r="B54" s="7">
        <v>29365</v>
      </c>
      <c r="C54" s="2" t="s">
        <v>68</v>
      </c>
      <c r="D54" s="2" t="s">
        <v>62</v>
      </c>
      <c r="E54" s="4">
        <v>2190</v>
      </c>
      <c r="F54" s="4">
        <v>26935</v>
      </c>
      <c r="G54" s="4">
        <v>1989</v>
      </c>
      <c r="H54" s="5">
        <v>2169</v>
      </c>
      <c r="I54" s="5">
        <v>26917</v>
      </c>
      <c r="J54" s="5">
        <v>1969</v>
      </c>
      <c r="K54" s="6">
        <f t="shared" si="0"/>
        <v>-21</v>
      </c>
      <c r="L54" s="6">
        <f t="shared" si="0"/>
        <v>-18</v>
      </c>
      <c r="M54" s="6">
        <f t="shared" si="0"/>
        <v>-20</v>
      </c>
    </row>
    <row r="55" spans="1:13" x14ac:dyDescent="0.25">
      <c r="A55" s="2">
        <v>52</v>
      </c>
      <c r="B55" s="7">
        <v>29371</v>
      </c>
      <c r="C55" s="2" t="s">
        <v>69</v>
      </c>
      <c r="D55" s="2" t="s">
        <v>62</v>
      </c>
      <c r="E55" s="4">
        <v>1973</v>
      </c>
      <c r="F55" s="4">
        <v>32441</v>
      </c>
      <c r="G55" s="4">
        <v>1792</v>
      </c>
      <c r="H55" s="5">
        <v>1955</v>
      </c>
      <c r="I55" s="5">
        <v>32337</v>
      </c>
      <c r="J55" s="5">
        <v>1773</v>
      </c>
      <c r="K55" s="6">
        <f t="shared" si="0"/>
        <v>-18</v>
      </c>
      <c r="L55" s="6">
        <f t="shared" si="0"/>
        <v>-104</v>
      </c>
      <c r="M55" s="6">
        <f t="shared" si="0"/>
        <v>-19</v>
      </c>
    </row>
    <row r="56" spans="1:13" x14ac:dyDescent="0.25">
      <c r="A56" s="2">
        <v>53</v>
      </c>
      <c r="B56" s="7">
        <v>29419</v>
      </c>
      <c r="C56" s="2" t="s">
        <v>70</v>
      </c>
      <c r="D56" s="2" t="s">
        <v>71</v>
      </c>
      <c r="E56" s="4">
        <v>959</v>
      </c>
      <c r="F56" s="4">
        <v>21341</v>
      </c>
      <c r="G56" s="4">
        <v>803</v>
      </c>
      <c r="H56" s="5">
        <v>999</v>
      </c>
      <c r="I56" s="5">
        <v>21245</v>
      </c>
      <c r="J56" s="5">
        <v>838</v>
      </c>
      <c r="K56" s="6">
        <f t="shared" si="0"/>
        <v>40</v>
      </c>
      <c r="L56" s="6">
        <f t="shared" si="0"/>
        <v>-96</v>
      </c>
      <c r="M56" s="6">
        <f t="shared" si="0"/>
        <v>35</v>
      </c>
    </row>
    <row r="57" spans="1:13" x14ac:dyDescent="0.25">
      <c r="A57" s="2">
        <v>54</v>
      </c>
      <c r="B57" s="7">
        <v>29455</v>
      </c>
      <c r="C57" s="2" t="s">
        <v>72</v>
      </c>
      <c r="D57" s="2" t="s">
        <v>71</v>
      </c>
      <c r="E57" s="4">
        <v>1326</v>
      </c>
      <c r="F57" s="4">
        <v>21996</v>
      </c>
      <c r="G57" s="4">
        <v>1112</v>
      </c>
      <c r="H57" s="5">
        <v>1362</v>
      </c>
      <c r="I57" s="5">
        <v>22140</v>
      </c>
      <c r="J57" s="5">
        <v>1144</v>
      </c>
      <c r="K57" s="6">
        <f t="shared" si="0"/>
        <v>36</v>
      </c>
      <c r="L57" s="6">
        <f t="shared" si="0"/>
        <v>144</v>
      </c>
      <c r="M57" s="6">
        <f t="shared" si="0"/>
        <v>32</v>
      </c>
    </row>
    <row r="58" spans="1:13" x14ac:dyDescent="0.25">
      <c r="A58" s="2">
        <v>55</v>
      </c>
      <c r="B58" s="7">
        <v>29497</v>
      </c>
      <c r="C58" s="2" t="s">
        <v>73</v>
      </c>
      <c r="D58" s="2" t="s">
        <v>71</v>
      </c>
      <c r="E58" s="4">
        <v>1330</v>
      </c>
      <c r="F58" s="4">
        <v>26709</v>
      </c>
      <c r="G58" s="4">
        <v>1159</v>
      </c>
      <c r="H58" s="5">
        <v>1327</v>
      </c>
      <c r="I58" s="5">
        <v>26596</v>
      </c>
      <c r="J58" s="5">
        <v>1152</v>
      </c>
      <c r="K58" s="6">
        <f t="shared" si="0"/>
        <v>-3</v>
      </c>
      <c r="L58" s="6">
        <f t="shared" si="0"/>
        <v>-113</v>
      </c>
      <c r="M58" s="6">
        <f t="shared" si="0"/>
        <v>-7</v>
      </c>
    </row>
    <row r="59" spans="1:13" x14ac:dyDescent="0.25">
      <c r="A59" s="2">
        <v>56</v>
      </c>
      <c r="B59" s="7">
        <v>29512</v>
      </c>
      <c r="C59" s="2" t="s">
        <v>74</v>
      </c>
      <c r="D59" s="2" t="s">
        <v>71</v>
      </c>
      <c r="E59" s="4">
        <v>1613</v>
      </c>
      <c r="F59" s="4">
        <v>19314</v>
      </c>
      <c r="G59" s="4">
        <v>1228</v>
      </c>
      <c r="H59" s="5">
        <v>1704</v>
      </c>
      <c r="I59" s="5">
        <v>19476</v>
      </c>
      <c r="J59" s="5">
        <v>1307</v>
      </c>
      <c r="K59" s="6">
        <f t="shared" si="0"/>
        <v>91</v>
      </c>
      <c r="L59" s="6">
        <f t="shared" si="0"/>
        <v>162</v>
      </c>
      <c r="M59" s="6">
        <f t="shared" si="0"/>
        <v>79</v>
      </c>
    </row>
    <row r="60" spans="1:13" x14ac:dyDescent="0.25">
      <c r="A60" s="2">
        <v>57</v>
      </c>
      <c r="B60" s="7">
        <v>29513</v>
      </c>
      <c r="C60" s="2" t="s">
        <v>75</v>
      </c>
      <c r="D60" s="2" t="s">
        <v>71</v>
      </c>
      <c r="E60" s="4">
        <v>478</v>
      </c>
      <c r="F60" s="4">
        <v>13379</v>
      </c>
      <c r="G60" s="4">
        <v>372</v>
      </c>
      <c r="H60" s="5">
        <v>479</v>
      </c>
      <c r="I60" s="5">
        <v>13273</v>
      </c>
      <c r="J60" s="5">
        <v>373</v>
      </c>
      <c r="K60" s="6">
        <f t="shared" si="0"/>
        <v>1</v>
      </c>
      <c r="L60" s="6">
        <f t="shared" si="0"/>
        <v>-106</v>
      </c>
      <c r="M60" s="6">
        <f t="shared" si="0"/>
        <v>1</v>
      </c>
    </row>
    <row r="61" spans="1:13" x14ac:dyDescent="0.25">
      <c r="A61" s="2">
        <v>58</v>
      </c>
      <c r="B61" s="7">
        <v>29516</v>
      </c>
      <c r="C61" s="2" t="s">
        <v>76</v>
      </c>
      <c r="D61" s="2" t="s">
        <v>71</v>
      </c>
      <c r="E61" s="4">
        <v>588</v>
      </c>
      <c r="F61" s="4">
        <v>13991</v>
      </c>
      <c r="G61" s="4">
        <v>485</v>
      </c>
      <c r="H61" s="5">
        <v>618</v>
      </c>
      <c r="I61" s="5">
        <v>13972</v>
      </c>
      <c r="J61" s="5">
        <v>510</v>
      </c>
      <c r="K61" s="6">
        <f t="shared" si="0"/>
        <v>30</v>
      </c>
      <c r="L61" s="6">
        <f t="shared" si="0"/>
        <v>-19</v>
      </c>
      <c r="M61" s="6">
        <f t="shared" si="0"/>
        <v>25</v>
      </c>
    </row>
    <row r="62" spans="1:13" x14ac:dyDescent="0.25">
      <c r="A62" s="2">
        <v>59</v>
      </c>
      <c r="B62" s="7">
        <v>29518</v>
      </c>
      <c r="C62" s="2" t="s">
        <v>77</v>
      </c>
      <c r="D62" s="2" t="s">
        <v>71</v>
      </c>
      <c r="E62" s="4">
        <v>617</v>
      </c>
      <c r="F62" s="4">
        <v>9892</v>
      </c>
      <c r="G62" s="4">
        <v>486</v>
      </c>
      <c r="H62" s="5">
        <v>659</v>
      </c>
      <c r="I62" s="5">
        <v>9445</v>
      </c>
      <c r="J62" s="5">
        <v>532</v>
      </c>
      <c r="K62" s="6">
        <f t="shared" si="0"/>
        <v>42</v>
      </c>
      <c r="L62" s="6">
        <f t="shared" si="0"/>
        <v>-447</v>
      </c>
      <c r="M62" s="6">
        <f t="shared" si="0"/>
        <v>46</v>
      </c>
    </row>
    <row r="63" spans="1:13" x14ac:dyDescent="0.25">
      <c r="A63" s="2">
        <v>60</v>
      </c>
      <c r="B63" s="7">
        <v>29530</v>
      </c>
      <c r="C63" s="2" t="s">
        <v>78</v>
      </c>
      <c r="D63" s="2" t="s">
        <v>71</v>
      </c>
      <c r="E63" s="4">
        <v>1091</v>
      </c>
      <c r="F63" s="4">
        <v>15615</v>
      </c>
      <c r="G63" s="4">
        <v>940</v>
      </c>
      <c r="H63" s="5">
        <v>1130</v>
      </c>
      <c r="I63" s="5">
        <v>15715</v>
      </c>
      <c r="J63" s="5">
        <v>978</v>
      </c>
      <c r="K63" s="6">
        <f t="shared" si="0"/>
        <v>39</v>
      </c>
      <c r="L63" s="6">
        <f t="shared" si="0"/>
        <v>100</v>
      </c>
      <c r="M63" s="6">
        <f t="shared" si="0"/>
        <v>38</v>
      </c>
    </row>
    <row r="64" spans="1:13" x14ac:dyDescent="0.25">
      <c r="A64" s="2">
        <v>61</v>
      </c>
      <c r="B64" s="7">
        <v>29533</v>
      </c>
      <c r="C64" s="2" t="s">
        <v>79</v>
      </c>
      <c r="D64" s="2" t="s">
        <v>71</v>
      </c>
      <c r="E64" s="4">
        <v>507</v>
      </c>
      <c r="F64" s="4">
        <v>14398</v>
      </c>
      <c r="G64" s="4">
        <v>401</v>
      </c>
      <c r="H64" s="5">
        <v>507</v>
      </c>
      <c r="I64" s="5">
        <v>14318</v>
      </c>
      <c r="J64" s="5">
        <v>399</v>
      </c>
      <c r="K64" s="6">
        <f t="shared" si="0"/>
        <v>0</v>
      </c>
      <c r="L64" s="6">
        <f t="shared" si="0"/>
        <v>-80</v>
      </c>
      <c r="M64" s="6">
        <f t="shared" si="0"/>
        <v>-2</v>
      </c>
    </row>
    <row r="65" spans="1:13" x14ac:dyDescent="0.25">
      <c r="A65" s="2">
        <v>62</v>
      </c>
      <c r="B65" s="7">
        <v>29536</v>
      </c>
      <c r="C65" s="2" t="s">
        <v>80</v>
      </c>
      <c r="D65" s="2" t="s">
        <v>71</v>
      </c>
      <c r="E65" s="4">
        <v>354</v>
      </c>
      <c r="F65" s="4">
        <v>12135</v>
      </c>
      <c r="G65" s="4">
        <v>289</v>
      </c>
      <c r="H65" s="5">
        <v>352</v>
      </c>
      <c r="I65" s="5">
        <v>11956</v>
      </c>
      <c r="J65" s="5">
        <v>289</v>
      </c>
      <c r="K65" s="6">
        <f t="shared" si="0"/>
        <v>-2</v>
      </c>
      <c r="L65" s="6">
        <f t="shared" si="0"/>
        <v>-179</v>
      </c>
      <c r="M65" s="6">
        <f t="shared" si="0"/>
        <v>0</v>
      </c>
    </row>
    <row r="66" spans="1:13" x14ac:dyDescent="0.25">
      <c r="A66" s="2">
        <v>63</v>
      </c>
      <c r="B66" s="7">
        <v>28984</v>
      </c>
      <c r="C66" s="2" t="s">
        <v>81</v>
      </c>
      <c r="D66" s="2" t="s">
        <v>82</v>
      </c>
      <c r="E66" s="4">
        <v>2630</v>
      </c>
      <c r="F66" s="4">
        <v>25179</v>
      </c>
      <c r="G66" s="4">
        <v>2345</v>
      </c>
      <c r="H66" s="5">
        <v>2612</v>
      </c>
      <c r="I66" s="5">
        <v>24804</v>
      </c>
      <c r="J66" s="5">
        <v>2324</v>
      </c>
      <c r="K66" s="6">
        <f t="shared" si="0"/>
        <v>-18</v>
      </c>
      <c r="L66" s="6">
        <f t="shared" si="0"/>
        <v>-375</v>
      </c>
      <c r="M66" s="6">
        <f t="shared" si="0"/>
        <v>-21</v>
      </c>
    </row>
    <row r="67" spans="1:13" x14ac:dyDescent="0.25">
      <c r="A67" s="2">
        <v>64</v>
      </c>
      <c r="B67" s="7">
        <v>28987</v>
      </c>
      <c r="C67" s="2" t="s">
        <v>83</v>
      </c>
      <c r="D67" s="2" t="s">
        <v>82</v>
      </c>
      <c r="E67" s="4">
        <v>2348</v>
      </c>
      <c r="F67" s="4">
        <v>20326</v>
      </c>
      <c r="G67" s="4">
        <v>2203</v>
      </c>
      <c r="H67" s="5">
        <v>2335</v>
      </c>
      <c r="I67" s="5">
        <v>20274</v>
      </c>
      <c r="J67" s="5">
        <v>2186</v>
      </c>
      <c r="K67" s="6">
        <f t="shared" si="0"/>
        <v>-13</v>
      </c>
      <c r="L67" s="6">
        <f t="shared" si="0"/>
        <v>-52</v>
      </c>
      <c r="M67" s="6">
        <f t="shared" si="0"/>
        <v>-17</v>
      </c>
    </row>
    <row r="68" spans="1:13" x14ac:dyDescent="0.25">
      <c r="A68" s="2">
        <v>65</v>
      </c>
      <c r="B68" s="7">
        <v>28993</v>
      </c>
      <c r="C68" s="2" t="s">
        <v>84</v>
      </c>
      <c r="D68" s="2" t="s">
        <v>82</v>
      </c>
      <c r="E68" s="4">
        <v>2059</v>
      </c>
      <c r="F68" s="4">
        <v>20103</v>
      </c>
      <c r="G68" s="4">
        <v>1878</v>
      </c>
      <c r="H68" s="5">
        <v>2059</v>
      </c>
      <c r="I68" s="5">
        <v>19970</v>
      </c>
      <c r="J68" s="5">
        <v>1877</v>
      </c>
      <c r="K68" s="6">
        <f t="shared" si="0"/>
        <v>0</v>
      </c>
      <c r="L68" s="6">
        <f t="shared" si="0"/>
        <v>-133</v>
      </c>
      <c r="M68" s="6">
        <f t="shared" si="0"/>
        <v>-1</v>
      </c>
    </row>
    <row r="69" spans="1:13" x14ac:dyDescent="0.25">
      <c r="A69" s="2">
        <v>66</v>
      </c>
      <c r="B69" s="7">
        <v>28996</v>
      </c>
      <c r="C69" s="2" t="s">
        <v>85</v>
      </c>
      <c r="D69" s="2" t="s">
        <v>82</v>
      </c>
      <c r="E69" s="4">
        <v>2204</v>
      </c>
      <c r="F69" s="4">
        <v>23066</v>
      </c>
      <c r="G69" s="4">
        <v>2047</v>
      </c>
      <c r="H69" s="5">
        <v>2190</v>
      </c>
      <c r="I69" s="5">
        <v>23122</v>
      </c>
      <c r="J69" s="5">
        <v>2034</v>
      </c>
      <c r="K69" s="6">
        <f t="shared" ref="K69:M129" si="1">H69-E69</f>
        <v>-14</v>
      </c>
      <c r="L69" s="6">
        <f t="shared" si="1"/>
        <v>56</v>
      </c>
      <c r="M69" s="6">
        <f t="shared" si="1"/>
        <v>-13</v>
      </c>
    </row>
    <row r="70" spans="1:13" x14ac:dyDescent="0.25">
      <c r="A70" s="2">
        <v>67</v>
      </c>
      <c r="B70" s="7">
        <v>29020</v>
      </c>
      <c r="C70" s="2" t="s">
        <v>86</v>
      </c>
      <c r="D70" s="2" t="s">
        <v>82</v>
      </c>
      <c r="E70" s="4">
        <v>1672</v>
      </c>
      <c r="F70" s="4">
        <v>21885</v>
      </c>
      <c r="G70" s="4">
        <v>1518</v>
      </c>
      <c r="H70" s="5">
        <v>1632</v>
      </c>
      <c r="I70" s="5">
        <v>21768</v>
      </c>
      <c r="J70" s="5">
        <v>1497</v>
      </c>
      <c r="K70" s="6">
        <f t="shared" si="1"/>
        <v>-40</v>
      </c>
      <c r="L70" s="6">
        <f t="shared" si="1"/>
        <v>-117</v>
      </c>
      <c r="M70" s="6">
        <f t="shared" si="1"/>
        <v>-21</v>
      </c>
    </row>
    <row r="71" spans="1:13" x14ac:dyDescent="0.25">
      <c r="A71" s="2">
        <v>68</v>
      </c>
      <c r="B71" s="7">
        <v>29029</v>
      </c>
      <c r="C71" s="2" t="s">
        <v>87</v>
      </c>
      <c r="D71" s="2" t="s">
        <v>82</v>
      </c>
      <c r="E71" s="4">
        <v>1912</v>
      </c>
      <c r="F71" s="4">
        <v>25269</v>
      </c>
      <c r="G71" s="4">
        <v>1731</v>
      </c>
      <c r="H71" s="5">
        <v>1884</v>
      </c>
      <c r="I71" s="5">
        <v>25110</v>
      </c>
      <c r="J71" s="5">
        <v>1717</v>
      </c>
      <c r="K71" s="6">
        <f t="shared" si="1"/>
        <v>-28</v>
      </c>
      <c r="L71" s="6">
        <f t="shared" si="1"/>
        <v>-159</v>
      </c>
      <c r="M71" s="6">
        <f t="shared" si="1"/>
        <v>-14</v>
      </c>
    </row>
    <row r="72" spans="1:13" x14ac:dyDescent="0.25">
      <c r="A72" s="2">
        <v>69</v>
      </c>
      <c r="B72" s="7">
        <v>29044</v>
      </c>
      <c r="C72" s="2" t="s">
        <v>88</v>
      </c>
      <c r="D72" s="2" t="s">
        <v>82</v>
      </c>
      <c r="E72" s="4">
        <v>2156</v>
      </c>
      <c r="F72" s="4">
        <v>29185</v>
      </c>
      <c r="G72" s="4">
        <v>1967</v>
      </c>
      <c r="H72" s="5">
        <v>2130</v>
      </c>
      <c r="I72" s="5">
        <v>29071</v>
      </c>
      <c r="J72" s="5">
        <v>1936</v>
      </c>
      <c r="K72" s="6">
        <f t="shared" si="1"/>
        <v>-26</v>
      </c>
      <c r="L72" s="6">
        <f t="shared" si="1"/>
        <v>-114</v>
      </c>
      <c r="M72" s="6">
        <f t="shared" si="1"/>
        <v>-31</v>
      </c>
    </row>
    <row r="73" spans="1:13" x14ac:dyDescent="0.25">
      <c r="A73" s="2">
        <v>70</v>
      </c>
      <c r="B73" s="7">
        <v>29584</v>
      </c>
      <c r="C73" s="2" t="s">
        <v>89</v>
      </c>
      <c r="D73" s="2" t="s">
        <v>90</v>
      </c>
      <c r="E73" s="4">
        <v>3075</v>
      </c>
      <c r="F73" s="4">
        <v>34340</v>
      </c>
      <c r="G73" s="4">
        <v>2851</v>
      </c>
      <c r="H73" s="5">
        <v>3042</v>
      </c>
      <c r="I73" s="5">
        <v>33747</v>
      </c>
      <c r="J73" s="5">
        <v>2839</v>
      </c>
      <c r="K73" s="6">
        <f t="shared" si="1"/>
        <v>-33</v>
      </c>
      <c r="L73" s="6">
        <f t="shared" si="1"/>
        <v>-593</v>
      </c>
      <c r="M73" s="6">
        <f t="shared" si="1"/>
        <v>-12</v>
      </c>
    </row>
    <row r="74" spans="1:13" x14ac:dyDescent="0.25">
      <c r="A74" s="2">
        <v>71</v>
      </c>
      <c r="B74" s="7">
        <v>29602</v>
      </c>
      <c r="C74" s="2" t="s">
        <v>91</v>
      </c>
      <c r="D74" s="2" t="s">
        <v>90</v>
      </c>
      <c r="E74" s="4">
        <v>5438</v>
      </c>
      <c r="F74" s="4">
        <v>37102</v>
      </c>
      <c r="G74" s="4">
        <v>5098</v>
      </c>
      <c r="H74" s="5">
        <v>5432</v>
      </c>
      <c r="I74" s="5">
        <v>36602</v>
      </c>
      <c r="J74" s="5">
        <v>5108</v>
      </c>
      <c r="K74" s="6">
        <f t="shared" si="1"/>
        <v>-6</v>
      </c>
      <c r="L74" s="6">
        <f t="shared" si="1"/>
        <v>-500</v>
      </c>
      <c r="M74" s="6">
        <f t="shared" si="1"/>
        <v>10</v>
      </c>
    </row>
    <row r="75" spans="1:13" x14ac:dyDescent="0.25">
      <c r="A75" s="2">
        <v>72</v>
      </c>
      <c r="B75" s="7">
        <v>29611</v>
      </c>
      <c r="C75" s="2" t="s">
        <v>92</v>
      </c>
      <c r="D75" s="2" t="s">
        <v>90</v>
      </c>
      <c r="E75" s="4">
        <v>6744</v>
      </c>
      <c r="F75" s="4">
        <v>33547</v>
      </c>
      <c r="G75" s="4">
        <v>6339</v>
      </c>
      <c r="H75" s="5">
        <v>6803</v>
      </c>
      <c r="I75" s="5">
        <v>33179</v>
      </c>
      <c r="J75" s="5">
        <v>6380</v>
      </c>
      <c r="K75" s="6">
        <f t="shared" si="1"/>
        <v>59</v>
      </c>
      <c r="L75" s="6">
        <f t="shared" si="1"/>
        <v>-368</v>
      </c>
      <c r="M75" s="6">
        <f t="shared" si="1"/>
        <v>41</v>
      </c>
    </row>
    <row r="76" spans="1:13" x14ac:dyDescent="0.25">
      <c r="A76" s="2">
        <v>73</v>
      </c>
      <c r="B76" s="7">
        <v>29623</v>
      </c>
      <c r="C76" s="2" t="s">
        <v>93</v>
      </c>
      <c r="D76" s="2" t="s">
        <v>90</v>
      </c>
      <c r="E76" s="4">
        <v>2284</v>
      </c>
      <c r="F76" s="4">
        <v>24563</v>
      </c>
      <c r="G76" s="4">
        <v>2105</v>
      </c>
      <c r="H76" s="5">
        <v>2259</v>
      </c>
      <c r="I76" s="5">
        <v>24056</v>
      </c>
      <c r="J76" s="5">
        <v>2076</v>
      </c>
      <c r="K76" s="6">
        <f t="shared" si="1"/>
        <v>-25</v>
      </c>
      <c r="L76" s="6">
        <f t="shared" si="1"/>
        <v>-507</v>
      </c>
      <c r="M76" s="6">
        <f t="shared" si="1"/>
        <v>-29</v>
      </c>
    </row>
    <row r="77" spans="1:13" x14ac:dyDescent="0.25">
      <c r="A77" s="2">
        <v>74</v>
      </c>
      <c r="B77" s="7">
        <v>29638</v>
      </c>
      <c r="C77" s="2" t="s">
        <v>94</v>
      </c>
      <c r="D77" s="2" t="s">
        <v>90</v>
      </c>
      <c r="E77" s="4">
        <v>2625</v>
      </c>
      <c r="F77" s="4">
        <v>21297</v>
      </c>
      <c r="G77" s="4">
        <v>2449</v>
      </c>
      <c r="H77" s="5">
        <v>2616</v>
      </c>
      <c r="I77" s="5">
        <v>21110</v>
      </c>
      <c r="J77" s="5">
        <v>2435</v>
      </c>
      <c r="K77" s="6">
        <f t="shared" si="1"/>
        <v>-9</v>
      </c>
      <c r="L77" s="6">
        <f t="shared" si="1"/>
        <v>-187</v>
      </c>
      <c r="M77" s="6">
        <f t="shared" si="1"/>
        <v>-14</v>
      </c>
    </row>
    <row r="78" spans="1:13" x14ac:dyDescent="0.25">
      <c r="A78" s="2">
        <v>75</v>
      </c>
      <c r="B78" s="7">
        <v>29641</v>
      </c>
      <c r="C78" s="2" t="s">
        <v>95</v>
      </c>
      <c r="D78" s="2" t="s">
        <v>90</v>
      </c>
      <c r="E78" s="4">
        <v>2272</v>
      </c>
      <c r="F78" s="4">
        <v>26157</v>
      </c>
      <c r="G78" s="4">
        <v>2040</v>
      </c>
      <c r="H78" s="5">
        <v>2242</v>
      </c>
      <c r="I78" s="5">
        <v>25647</v>
      </c>
      <c r="J78" s="5">
        <v>2007</v>
      </c>
      <c r="K78" s="6">
        <f t="shared" si="1"/>
        <v>-30</v>
      </c>
      <c r="L78" s="6">
        <f t="shared" si="1"/>
        <v>-510</v>
      </c>
      <c r="M78" s="6">
        <f t="shared" si="1"/>
        <v>-33</v>
      </c>
    </row>
    <row r="79" spans="1:13" x14ac:dyDescent="0.25">
      <c r="A79" s="2">
        <v>76</v>
      </c>
      <c r="B79" s="7">
        <v>29653</v>
      </c>
      <c r="C79" s="2" t="s">
        <v>96</v>
      </c>
      <c r="D79" s="2" t="s">
        <v>90</v>
      </c>
      <c r="E79" s="4">
        <v>2141</v>
      </c>
      <c r="F79" s="4">
        <v>18382</v>
      </c>
      <c r="G79" s="4">
        <v>1990</v>
      </c>
      <c r="H79" s="5">
        <v>2110</v>
      </c>
      <c r="I79" s="5">
        <v>18080</v>
      </c>
      <c r="J79" s="5">
        <v>1953</v>
      </c>
      <c r="K79" s="6">
        <f t="shared" si="1"/>
        <v>-31</v>
      </c>
      <c r="L79" s="6">
        <f t="shared" si="1"/>
        <v>-302</v>
      </c>
      <c r="M79" s="6">
        <f t="shared" si="1"/>
        <v>-37</v>
      </c>
    </row>
    <row r="80" spans="1:13" x14ac:dyDescent="0.25">
      <c r="A80" s="2">
        <v>77</v>
      </c>
      <c r="B80" s="7">
        <v>29719</v>
      </c>
      <c r="C80" s="2" t="s">
        <v>97</v>
      </c>
      <c r="D80" s="2" t="s">
        <v>98</v>
      </c>
      <c r="E80" s="4">
        <v>2541</v>
      </c>
      <c r="F80" s="4">
        <v>24874</v>
      </c>
      <c r="G80" s="4">
        <v>2342</v>
      </c>
      <c r="H80" s="5">
        <v>2516</v>
      </c>
      <c r="I80" s="5">
        <v>25295</v>
      </c>
      <c r="J80" s="5">
        <v>2318</v>
      </c>
      <c r="K80" s="6">
        <f t="shared" si="1"/>
        <v>-25</v>
      </c>
      <c r="L80" s="6">
        <f t="shared" si="1"/>
        <v>421</v>
      </c>
      <c r="M80" s="6">
        <f t="shared" si="1"/>
        <v>-24</v>
      </c>
    </row>
    <row r="81" spans="1:13" x14ac:dyDescent="0.25">
      <c r="A81" s="2">
        <v>78</v>
      </c>
      <c r="B81" s="7">
        <v>29728</v>
      </c>
      <c r="C81" s="2" t="s">
        <v>99</v>
      </c>
      <c r="D81" s="2" t="s">
        <v>98</v>
      </c>
      <c r="E81" s="4">
        <v>5182</v>
      </c>
      <c r="F81" s="4">
        <v>32270</v>
      </c>
      <c r="G81" s="4">
        <v>4901</v>
      </c>
      <c r="H81" s="5">
        <v>5132</v>
      </c>
      <c r="I81" s="5">
        <v>31888</v>
      </c>
      <c r="J81" s="5">
        <v>4850</v>
      </c>
      <c r="K81" s="6">
        <f t="shared" si="1"/>
        <v>-50</v>
      </c>
      <c r="L81" s="6">
        <f t="shared" si="1"/>
        <v>-382</v>
      </c>
      <c r="M81" s="6">
        <f t="shared" si="1"/>
        <v>-51</v>
      </c>
    </row>
    <row r="82" spans="1:13" x14ac:dyDescent="0.25">
      <c r="A82" s="2">
        <v>79</v>
      </c>
      <c r="B82" s="7">
        <v>29734</v>
      </c>
      <c r="C82" s="2" t="s">
        <v>100</v>
      </c>
      <c r="D82" s="2" t="s">
        <v>98</v>
      </c>
      <c r="E82" s="4">
        <v>2876</v>
      </c>
      <c r="F82" s="4">
        <v>21654</v>
      </c>
      <c r="G82" s="4">
        <v>2698</v>
      </c>
      <c r="H82" s="5">
        <v>2855</v>
      </c>
      <c r="I82" s="5">
        <v>21342</v>
      </c>
      <c r="J82" s="5">
        <v>2672</v>
      </c>
      <c r="K82" s="6">
        <f t="shared" si="1"/>
        <v>-21</v>
      </c>
      <c r="L82" s="6">
        <f t="shared" si="1"/>
        <v>-312</v>
      </c>
      <c r="M82" s="6">
        <f t="shared" si="1"/>
        <v>-26</v>
      </c>
    </row>
    <row r="83" spans="1:13" x14ac:dyDescent="0.25">
      <c r="A83" s="2">
        <v>80</v>
      </c>
      <c r="B83" s="7">
        <v>29740</v>
      </c>
      <c r="C83" s="2" t="s">
        <v>101</v>
      </c>
      <c r="D83" s="2" t="s">
        <v>98</v>
      </c>
      <c r="E83" s="4">
        <v>5209</v>
      </c>
      <c r="F83" s="4">
        <v>42289</v>
      </c>
      <c r="G83" s="4">
        <v>4989</v>
      </c>
      <c r="H83" s="5">
        <v>5188</v>
      </c>
      <c r="I83" s="5">
        <v>41829</v>
      </c>
      <c r="J83" s="5">
        <v>4960</v>
      </c>
      <c r="K83" s="6">
        <f t="shared" si="1"/>
        <v>-21</v>
      </c>
      <c r="L83" s="6">
        <f t="shared" si="1"/>
        <v>-460</v>
      </c>
      <c r="M83" s="6">
        <f t="shared" si="1"/>
        <v>-29</v>
      </c>
    </row>
    <row r="84" spans="1:13" x14ac:dyDescent="0.25">
      <c r="A84" s="2">
        <v>81</v>
      </c>
      <c r="B84" s="7">
        <v>29767</v>
      </c>
      <c r="C84" s="2" t="s">
        <v>102</v>
      </c>
      <c r="D84" s="2" t="s">
        <v>98</v>
      </c>
      <c r="E84" s="4">
        <v>3464</v>
      </c>
      <c r="F84" s="4">
        <v>41213</v>
      </c>
      <c r="G84" s="4">
        <v>3248</v>
      </c>
      <c r="H84" s="5">
        <v>3423</v>
      </c>
      <c r="I84" s="5">
        <v>40598</v>
      </c>
      <c r="J84" s="5">
        <v>3180</v>
      </c>
      <c r="K84" s="6">
        <f t="shared" si="1"/>
        <v>-41</v>
      </c>
      <c r="L84" s="6">
        <f t="shared" si="1"/>
        <v>-615</v>
      </c>
      <c r="M84" s="6">
        <f t="shared" si="1"/>
        <v>-68</v>
      </c>
    </row>
    <row r="85" spans="1:13" x14ac:dyDescent="0.25">
      <c r="A85" s="2">
        <v>82</v>
      </c>
      <c r="B85" s="7">
        <v>28957</v>
      </c>
      <c r="C85" s="2" t="s">
        <v>103</v>
      </c>
      <c r="D85" s="2" t="s">
        <v>104</v>
      </c>
      <c r="E85" s="4">
        <v>1858</v>
      </c>
      <c r="F85" s="4">
        <v>29652</v>
      </c>
      <c r="G85" s="4">
        <v>1643</v>
      </c>
      <c r="H85" s="5">
        <v>1816</v>
      </c>
      <c r="I85" s="5">
        <v>29369</v>
      </c>
      <c r="J85" s="5">
        <v>1630</v>
      </c>
      <c r="K85" s="6">
        <f t="shared" si="1"/>
        <v>-42</v>
      </c>
      <c r="L85" s="6">
        <f t="shared" si="1"/>
        <v>-283</v>
      </c>
      <c r="M85" s="6">
        <f t="shared" si="1"/>
        <v>-13</v>
      </c>
    </row>
    <row r="86" spans="1:13" x14ac:dyDescent="0.25">
      <c r="A86" s="2">
        <v>83</v>
      </c>
      <c r="B86" s="7">
        <v>28981</v>
      </c>
      <c r="C86" s="2" t="s">
        <v>105</v>
      </c>
      <c r="D86" s="2" t="s">
        <v>104</v>
      </c>
      <c r="E86" s="4">
        <v>1618</v>
      </c>
      <c r="F86" s="4">
        <v>30023</v>
      </c>
      <c r="G86" s="4">
        <v>1417</v>
      </c>
      <c r="H86" s="5">
        <v>1561</v>
      </c>
      <c r="I86" s="5">
        <v>29805</v>
      </c>
      <c r="J86" s="5">
        <v>1398</v>
      </c>
      <c r="K86" s="6">
        <f t="shared" si="1"/>
        <v>-57</v>
      </c>
      <c r="L86" s="6">
        <f t="shared" si="1"/>
        <v>-218</v>
      </c>
      <c r="M86" s="6">
        <f t="shared" si="1"/>
        <v>-19</v>
      </c>
    </row>
    <row r="87" spans="1:13" x14ac:dyDescent="0.25">
      <c r="A87" s="2">
        <v>84</v>
      </c>
      <c r="B87" s="7">
        <v>29182</v>
      </c>
      <c r="C87" s="2" t="s">
        <v>106</v>
      </c>
      <c r="D87" s="2" t="s">
        <v>104</v>
      </c>
      <c r="E87" s="4">
        <v>1746</v>
      </c>
      <c r="F87" s="4">
        <v>32930</v>
      </c>
      <c r="G87" s="4">
        <v>1434</v>
      </c>
      <c r="H87" s="5">
        <v>1713</v>
      </c>
      <c r="I87" s="5">
        <v>32684</v>
      </c>
      <c r="J87" s="5">
        <v>1401</v>
      </c>
      <c r="K87" s="6">
        <f t="shared" si="1"/>
        <v>-33</v>
      </c>
      <c r="L87" s="6">
        <f t="shared" si="1"/>
        <v>-246</v>
      </c>
      <c r="M87" s="6">
        <f t="shared" si="1"/>
        <v>-33</v>
      </c>
    </row>
    <row r="88" spans="1:13" x14ac:dyDescent="0.25">
      <c r="A88" s="2">
        <v>85</v>
      </c>
      <c r="B88" s="7">
        <v>29191</v>
      </c>
      <c r="C88" s="2" t="s">
        <v>107</v>
      </c>
      <c r="D88" s="2" t="s">
        <v>104</v>
      </c>
      <c r="E88" s="4">
        <v>1200</v>
      </c>
      <c r="F88" s="4">
        <v>24654</v>
      </c>
      <c r="G88" s="4">
        <v>1015</v>
      </c>
      <c r="H88" s="5">
        <v>1162</v>
      </c>
      <c r="I88" s="5">
        <v>24364</v>
      </c>
      <c r="J88" s="5">
        <v>997</v>
      </c>
      <c r="K88" s="6">
        <f t="shared" si="1"/>
        <v>-38</v>
      </c>
      <c r="L88" s="6">
        <f t="shared" si="1"/>
        <v>-290</v>
      </c>
      <c r="M88" s="6">
        <f t="shared" si="1"/>
        <v>-18</v>
      </c>
    </row>
    <row r="89" spans="1:13" x14ac:dyDescent="0.25">
      <c r="A89" s="2">
        <v>86</v>
      </c>
      <c r="B89" s="7">
        <v>29194</v>
      </c>
      <c r="C89" s="2" t="s">
        <v>108</v>
      </c>
      <c r="D89" s="2" t="s">
        <v>104</v>
      </c>
      <c r="E89" s="4">
        <v>1303</v>
      </c>
      <c r="F89" s="4">
        <v>28579</v>
      </c>
      <c r="G89" s="4">
        <v>1110</v>
      </c>
      <c r="H89" s="5">
        <v>1294</v>
      </c>
      <c r="I89" s="5">
        <v>28212</v>
      </c>
      <c r="J89" s="5">
        <v>1096</v>
      </c>
      <c r="K89" s="6">
        <f t="shared" si="1"/>
        <v>-9</v>
      </c>
      <c r="L89" s="6">
        <f t="shared" si="1"/>
        <v>-367</v>
      </c>
      <c r="M89" s="6">
        <f t="shared" si="1"/>
        <v>-14</v>
      </c>
    </row>
    <row r="90" spans="1:13" x14ac:dyDescent="0.25">
      <c r="A90" s="2">
        <v>87</v>
      </c>
      <c r="B90" s="7">
        <v>29221</v>
      </c>
      <c r="C90" s="2" t="s">
        <v>109</v>
      </c>
      <c r="D90" s="2" t="s">
        <v>104</v>
      </c>
      <c r="E90" s="4">
        <v>611</v>
      </c>
      <c r="F90" s="4">
        <v>15488</v>
      </c>
      <c r="G90" s="4">
        <v>504</v>
      </c>
      <c r="H90" s="5">
        <v>608</v>
      </c>
      <c r="I90" s="5">
        <v>15354</v>
      </c>
      <c r="J90" s="5">
        <v>501</v>
      </c>
      <c r="K90" s="6">
        <f t="shared" si="1"/>
        <v>-3</v>
      </c>
      <c r="L90" s="6">
        <f t="shared" si="1"/>
        <v>-134</v>
      </c>
      <c r="M90" s="6">
        <f t="shared" si="1"/>
        <v>-3</v>
      </c>
    </row>
    <row r="91" spans="1:13" x14ac:dyDescent="0.25">
      <c r="A91" s="2">
        <v>88</v>
      </c>
      <c r="B91" s="7">
        <v>29224</v>
      </c>
      <c r="C91" s="2" t="s">
        <v>110</v>
      </c>
      <c r="D91" s="2" t="s">
        <v>104</v>
      </c>
      <c r="E91" s="4">
        <v>1241</v>
      </c>
      <c r="F91" s="4">
        <v>24327</v>
      </c>
      <c r="G91" s="4">
        <v>1053</v>
      </c>
      <c r="H91" s="5">
        <v>1244</v>
      </c>
      <c r="I91" s="5">
        <v>24121</v>
      </c>
      <c r="J91" s="5">
        <v>1054</v>
      </c>
      <c r="K91" s="6">
        <f t="shared" si="1"/>
        <v>3</v>
      </c>
      <c r="L91" s="6">
        <f t="shared" si="1"/>
        <v>-206</v>
      </c>
      <c r="M91" s="6">
        <f t="shared" si="1"/>
        <v>1</v>
      </c>
    </row>
    <row r="92" spans="1:13" x14ac:dyDescent="0.25">
      <c r="A92" s="2">
        <v>89</v>
      </c>
      <c r="B92" s="7">
        <v>29227</v>
      </c>
      <c r="C92" s="2" t="s">
        <v>111</v>
      </c>
      <c r="D92" s="2" t="s">
        <v>104</v>
      </c>
      <c r="E92" s="4">
        <v>825</v>
      </c>
      <c r="F92" s="4">
        <v>17197</v>
      </c>
      <c r="G92" s="4">
        <v>691</v>
      </c>
      <c r="H92" s="5">
        <v>826</v>
      </c>
      <c r="I92" s="5">
        <v>17084</v>
      </c>
      <c r="J92" s="5">
        <v>691</v>
      </c>
      <c r="K92" s="6">
        <f t="shared" si="1"/>
        <v>1</v>
      </c>
      <c r="L92" s="6">
        <f t="shared" si="1"/>
        <v>-113</v>
      </c>
      <c r="M92" s="6">
        <f t="shared" si="1"/>
        <v>0</v>
      </c>
    </row>
    <row r="93" spans="1:13" x14ac:dyDescent="0.25">
      <c r="A93" s="2">
        <v>90</v>
      </c>
      <c r="B93" s="7">
        <v>29659</v>
      </c>
      <c r="C93" s="2" t="s">
        <v>112</v>
      </c>
      <c r="D93" s="2" t="s">
        <v>113</v>
      </c>
      <c r="E93" s="4">
        <v>2095</v>
      </c>
      <c r="F93" s="4">
        <v>27652</v>
      </c>
      <c r="G93" s="4">
        <v>1857</v>
      </c>
      <c r="H93" s="5">
        <v>2081</v>
      </c>
      <c r="I93" s="5">
        <v>27355</v>
      </c>
      <c r="J93" s="5">
        <v>1840</v>
      </c>
      <c r="K93" s="6">
        <f t="shared" si="1"/>
        <v>-14</v>
      </c>
      <c r="L93" s="6">
        <f t="shared" si="1"/>
        <v>-297</v>
      </c>
      <c r="M93" s="6">
        <f t="shared" si="1"/>
        <v>-17</v>
      </c>
    </row>
    <row r="94" spans="1:13" x14ac:dyDescent="0.25">
      <c r="A94" s="2">
        <v>91</v>
      </c>
      <c r="B94" s="7">
        <v>29668</v>
      </c>
      <c r="C94" s="2" t="s">
        <v>114</v>
      </c>
      <c r="D94" s="2" t="s">
        <v>113</v>
      </c>
      <c r="E94" s="4">
        <v>1446</v>
      </c>
      <c r="F94" s="4">
        <v>23686</v>
      </c>
      <c r="G94" s="4">
        <v>1304</v>
      </c>
      <c r="H94" s="5">
        <v>1429</v>
      </c>
      <c r="I94" s="5">
        <v>23365</v>
      </c>
      <c r="J94" s="5">
        <v>1288</v>
      </c>
      <c r="K94" s="6">
        <f t="shared" si="1"/>
        <v>-17</v>
      </c>
      <c r="L94" s="6">
        <f t="shared" si="1"/>
        <v>-321</v>
      </c>
      <c r="M94" s="6">
        <f t="shared" si="1"/>
        <v>-16</v>
      </c>
    </row>
    <row r="95" spans="1:13" x14ac:dyDescent="0.25">
      <c r="A95" s="2">
        <v>92</v>
      </c>
      <c r="B95" s="7">
        <v>29677</v>
      </c>
      <c r="C95" s="2" t="s">
        <v>115</v>
      </c>
      <c r="D95" s="2" t="s">
        <v>113</v>
      </c>
      <c r="E95" s="4">
        <v>722</v>
      </c>
      <c r="F95" s="4">
        <v>21939</v>
      </c>
      <c r="G95" s="4">
        <v>599</v>
      </c>
      <c r="H95" s="5">
        <v>707</v>
      </c>
      <c r="I95" s="5">
        <v>21697</v>
      </c>
      <c r="J95" s="5">
        <v>589</v>
      </c>
      <c r="K95" s="6">
        <f t="shared" si="1"/>
        <v>-15</v>
      </c>
      <c r="L95" s="6">
        <f t="shared" si="1"/>
        <v>-242</v>
      </c>
      <c r="M95" s="6">
        <f t="shared" si="1"/>
        <v>-10</v>
      </c>
    </row>
    <row r="96" spans="1:13" x14ac:dyDescent="0.25">
      <c r="A96" s="2">
        <v>93</v>
      </c>
      <c r="B96" s="7">
        <v>29683</v>
      </c>
      <c r="C96" s="2" t="s">
        <v>116</v>
      </c>
      <c r="D96" s="2" t="s">
        <v>113</v>
      </c>
      <c r="E96" s="4">
        <v>1945</v>
      </c>
      <c r="F96" s="4">
        <v>28728</v>
      </c>
      <c r="G96" s="4">
        <v>1717</v>
      </c>
      <c r="H96" s="5">
        <v>1892</v>
      </c>
      <c r="I96" s="5">
        <v>28338</v>
      </c>
      <c r="J96" s="5">
        <v>1695</v>
      </c>
      <c r="K96" s="6">
        <f t="shared" si="1"/>
        <v>-53</v>
      </c>
      <c r="L96" s="6">
        <f t="shared" si="1"/>
        <v>-390</v>
      </c>
      <c r="M96" s="6">
        <f t="shared" si="1"/>
        <v>-22</v>
      </c>
    </row>
    <row r="97" spans="1:13" x14ac:dyDescent="0.25">
      <c r="A97" s="2">
        <v>94</v>
      </c>
      <c r="B97" s="7">
        <v>29698</v>
      </c>
      <c r="C97" s="2" t="s">
        <v>117</v>
      </c>
      <c r="D97" s="2" t="s">
        <v>113</v>
      </c>
      <c r="E97" s="4">
        <v>1454</v>
      </c>
      <c r="F97" s="4">
        <v>22680</v>
      </c>
      <c r="G97" s="4">
        <v>1290</v>
      </c>
      <c r="H97" s="5">
        <v>1444</v>
      </c>
      <c r="I97" s="5">
        <v>22473</v>
      </c>
      <c r="J97" s="5">
        <v>1278</v>
      </c>
      <c r="K97" s="6">
        <f t="shared" si="1"/>
        <v>-10</v>
      </c>
      <c r="L97" s="6">
        <f t="shared" si="1"/>
        <v>-207</v>
      </c>
      <c r="M97" s="6">
        <f t="shared" si="1"/>
        <v>-12</v>
      </c>
    </row>
    <row r="98" spans="1:13" x14ac:dyDescent="0.25">
      <c r="A98" s="2">
        <v>95</v>
      </c>
      <c r="B98" s="7">
        <v>29701</v>
      </c>
      <c r="C98" s="2" t="s">
        <v>118</v>
      </c>
      <c r="D98" s="2" t="s">
        <v>113</v>
      </c>
      <c r="E98" s="4">
        <v>1516</v>
      </c>
      <c r="F98" s="4">
        <v>18307</v>
      </c>
      <c r="G98" s="4">
        <v>1363</v>
      </c>
      <c r="H98" s="5">
        <v>1475</v>
      </c>
      <c r="I98" s="5">
        <v>17901</v>
      </c>
      <c r="J98" s="5">
        <v>1337</v>
      </c>
      <c r="K98" s="6">
        <f t="shared" si="1"/>
        <v>-41</v>
      </c>
      <c r="L98" s="6">
        <f t="shared" si="1"/>
        <v>-406</v>
      </c>
      <c r="M98" s="6">
        <f t="shared" si="1"/>
        <v>-26</v>
      </c>
    </row>
    <row r="99" spans="1:13" x14ac:dyDescent="0.25">
      <c r="A99" s="2">
        <v>96</v>
      </c>
      <c r="B99" s="7">
        <v>29713</v>
      </c>
      <c r="C99" s="2" t="s">
        <v>119</v>
      </c>
      <c r="D99" s="2" t="s">
        <v>113</v>
      </c>
      <c r="E99" s="4">
        <v>1574</v>
      </c>
      <c r="F99" s="4">
        <v>27041</v>
      </c>
      <c r="G99" s="4">
        <v>1397</v>
      </c>
      <c r="H99" s="5">
        <v>1534</v>
      </c>
      <c r="I99" s="5">
        <v>26788</v>
      </c>
      <c r="J99" s="5">
        <v>1357</v>
      </c>
      <c r="K99" s="6">
        <f t="shared" si="1"/>
        <v>-40</v>
      </c>
      <c r="L99" s="6">
        <f t="shared" si="1"/>
        <v>-253</v>
      </c>
      <c r="M99" s="6">
        <f t="shared" si="1"/>
        <v>-40</v>
      </c>
    </row>
    <row r="100" spans="1:13" x14ac:dyDescent="0.25">
      <c r="A100" s="2">
        <v>97</v>
      </c>
      <c r="B100" s="7">
        <v>29416</v>
      </c>
      <c r="C100" s="2" t="s">
        <v>120</v>
      </c>
      <c r="D100" s="2" t="s">
        <v>121</v>
      </c>
      <c r="E100" s="4">
        <v>1404</v>
      </c>
      <c r="F100" s="4">
        <v>23078</v>
      </c>
      <c r="G100" s="4">
        <v>1169</v>
      </c>
      <c r="H100" s="5">
        <v>1387</v>
      </c>
      <c r="I100" s="5">
        <v>22961</v>
      </c>
      <c r="J100" s="5">
        <v>1152</v>
      </c>
      <c r="K100" s="6">
        <f t="shared" si="1"/>
        <v>-17</v>
      </c>
      <c r="L100" s="6">
        <f t="shared" si="1"/>
        <v>-117</v>
      </c>
      <c r="M100" s="6">
        <f t="shared" si="1"/>
        <v>-17</v>
      </c>
    </row>
    <row r="101" spans="1:13" x14ac:dyDescent="0.25">
      <c r="A101" s="2">
        <v>98</v>
      </c>
      <c r="B101" s="7">
        <v>29446</v>
      </c>
      <c r="C101" s="2" t="s">
        <v>122</v>
      </c>
      <c r="D101" s="2" t="s">
        <v>121</v>
      </c>
      <c r="E101" s="4">
        <v>1607</v>
      </c>
      <c r="F101" s="4">
        <v>23958</v>
      </c>
      <c r="G101" s="4">
        <v>1455</v>
      </c>
      <c r="H101" s="5">
        <v>1600</v>
      </c>
      <c r="I101" s="5">
        <v>23932</v>
      </c>
      <c r="J101" s="5">
        <v>1445</v>
      </c>
      <c r="K101" s="6">
        <f t="shared" si="1"/>
        <v>-7</v>
      </c>
      <c r="L101" s="6">
        <f t="shared" si="1"/>
        <v>-26</v>
      </c>
      <c r="M101" s="6">
        <f t="shared" si="1"/>
        <v>-10</v>
      </c>
    </row>
    <row r="102" spans="1:13" x14ac:dyDescent="0.25">
      <c r="A102" s="2">
        <v>99</v>
      </c>
      <c r="B102" s="7">
        <v>29461</v>
      </c>
      <c r="C102" s="2" t="s">
        <v>123</v>
      </c>
      <c r="D102" s="2" t="s">
        <v>121</v>
      </c>
      <c r="E102" s="4">
        <v>2042</v>
      </c>
      <c r="F102" s="4">
        <v>16956</v>
      </c>
      <c r="G102" s="4">
        <v>1834</v>
      </c>
      <c r="H102" s="5">
        <v>2036</v>
      </c>
      <c r="I102" s="5">
        <v>17076</v>
      </c>
      <c r="J102" s="5">
        <v>1816</v>
      </c>
      <c r="K102" s="6">
        <f t="shared" si="1"/>
        <v>-6</v>
      </c>
      <c r="L102" s="6">
        <f t="shared" si="1"/>
        <v>120</v>
      </c>
      <c r="M102" s="6">
        <f t="shared" si="1"/>
        <v>-18</v>
      </c>
    </row>
    <row r="103" spans="1:13" x14ac:dyDescent="0.25">
      <c r="A103" s="2">
        <v>100</v>
      </c>
      <c r="B103" s="7">
        <v>29467</v>
      </c>
      <c r="C103" s="2" t="s">
        <v>124</v>
      </c>
      <c r="D103" s="2" t="s">
        <v>121</v>
      </c>
      <c r="E103" s="4">
        <v>2629</v>
      </c>
      <c r="F103" s="4">
        <v>34124</v>
      </c>
      <c r="G103" s="4">
        <v>2433</v>
      </c>
      <c r="H103" s="5">
        <v>2613</v>
      </c>
      <c r="I103" s="5">
        <v>33891</v>
      </c>
      <c r="J103" s="5">
        <v>2405</v>
      </c>
      <c r="K103" s="6">
        <f t="shared" si="1"/>
        <v>-16</v>
      </c>
      <c r="L103" s="6">
        <f t="shared" si="1"/>
        <v>-233</v>
      </c>
      <c r="M103" s="6">
        <f t="shared" si="1"/>
        <v>-28</v>
      </c>
    </row>
    <row r="104" spans="1:13" x14ac:dyDescent="0.25">
      <c r="A104" s="2">
        <v>101</v>
      </c>
      <c r="B104" s="7">
        <v>29476</v>
      </c>
      <c r="C104" s="2" t="s">
        <v>125</v>
      </c>
      <c r="D104" s="2" t="s">
        <v>121</v>
      </c>
      <c r="E104" s="4">
        <v>1444</v>
      </c>
      <c r="F104" s="4">
        <v>24859</v>
      </c>
      <c r="G104" s="4">
        <v>1297</v>
      </c>
      <c r="H104" s="5">
        <v>1440</v>
      </c>
      <c r="I104" s="5">
        <v>24682</v>
      </c>
      <c r="J104" s="5">
        <v>1284</v>
      </c>
      <c r="K104" s="6">
        <f t="shared" si="1"/>
        <v>-4</v>
      </c>
      <c r="L104" s="6">
        <f t="shared" si="1"/>
        <v>-177</v>
      </c>
      <c r="M104" s="6">
        <f t="shared" si="1"/>
        <v>-13</v>
      </c>
    </row>
    <row r="105" spans="1:13" x14ac:dyDescent="0.25">
      <c r="A105" s="2">
        <v>102</v>
      </c>
      <c r="B105" s="7">
        <v>29489</v>
      </c>
      <c r="C105" s="2" t="s">
        <v>126</v>
      </c>
      <c r="D105" s="2" t="s">
        <v>121</v>
      </c>
      <c r="E105" s="4">
        <v>1604</v>
      </c>
      <c r="F105" s="4">
        <v>25441</v>
      </c>
      <c r="G105" s="4">
        <v>1451</v>
      </c>
      <c r="H105" s="5">
        <v>1582</v>
      </c>
      <c r="I105" s="5">
        <v>25287</v>
      </c>
      <c r="J105" s="5">
        <v>1429</v>
      </c>
      <c r="K105" s="6">
        <f t="shared" si="1"/>
        <v>-22</v>
      </c>
      <c r="L105" s="6">
        <f t="shared" si="1"/>
        <v>-154</v>
      </c>
      <c r="M105" s="6">
        <f t="shared" si="1"/>
        <v>-22</v>
      </c>
    </row>
    <row r="106" spans="1:13" x14ac:dyDescent="0.25">
      <c r="A106" s="2">
        <v>103</v>
      </c>
      <c r="B106" s="7">
        <v>29491</v>
      </c>
      <c r="C106" s="2" t="s">
        <v>127</v>
      </c>
      <c r="D106" s="2" t="s">
        <v>121</v>
      </c>
      <c r="E106" s="4">
        <v>1072</v>
      </c>
      <c r="F106" s="4">
        <v>19379</v>
      </c>
      <c r="G106" s="4">
        <v>938</v>
      </c>
      <c r="H106" s="5">
        <v>1070</v>
      </c>
      <c r="I106" s="5">
        <v>19335</v>
      </c>
      <c r="J106" s="5">
        <v>932</v>
      </c>
      <c r="K106" s="6">
        <f t="shared" si="1"/>
        <v>-2</v>
      </c>
      <c r="L106" s="6">
        <f t="shared" si="1"/>
        <v>-44</v>
      </c>
      <c r="M106" s="6">
        <f t="shared" si="1"/>
        <v>-6</v>
      </c>
    </row>
    <row r="107" spans="1:13" x14ac:dyDescent="0.25">
      <c r="A107" s="2">
        <v>104</v>
      </c>
      <c r="B107" s="7">
        <v>29506</v>
      </c>
      <c r="C107" s="2" t="s">
        <v>128</v>
      </c>
      <c r="D107" s="2" t="s">
        <v>121</v>
      </c>
      <c r="E107" s="4">
        <v>1561</v>
      </c>
      <c r="F107" s="4">
        <v>25730</v>
      </c>
      <c r="G107" s="4">
        <v>1378</v>
      </c>
      <c r="H107" s="5">
        <v>1553</v>
      </c>
      <c r="I107" s="5">
        <v>25617</v>
      </c>
      <c r="J107" s="5">
        <v>1366</v>
      </c>
      <c r="K107" s="6">
        <f t="shared" si="1"/>
        <v>-8</v>
      </c>
      <c r="L107" s="6">
        <f t="shared" si="1"/>
        <v>-113</v>
      </c>
      <c r="M107" s="6">
        <f t="shared" si="1"/>
        <v>-12</v>
      </c>
    </row>
    <row r="108" spans="1:13" x14ac:dyDescent="0.25">
      <c r="A108" s="2">
        <v>105</v>
      </c>
      <c r="B108" s="7">
        <v>29242</v>
      </c>
      <c r="C108" s="2" t="s">
        <v>129</v>
      </c>
      <c r="D108" s="2" t="s">
        <v>130</v>
      </c>
      <c r="E108" s="4">
        <v>4640</v>
      </c>
      <c r="F108" s="4">
        <v>29725</v>
      </c>
      <c r="G108" s="4">
        <v>3966</v>
      </c>
      <c r="H108" s="5">
        <v>4600</v>
      </c>
      <c r="I108" s="5">
        <v>29481</v>
      </c>
      <c r="J108" s="5">
        <v>3940</v>
      </c>
      <c r="K108" s="6">
        <f t="shared" si="1"/>
        <v>-40</v>
      </c>
      <c r="L108" s="6">
        <f t="shared" si="1"/>
        <v>-244</v>
      </c>
      <c r="M108" s="6">
        <f t="shared" si="1"/>
        <v>-26</v>
      </c>
    </row>
    <row r="109" spans="1:13" x14ac:dyDescent="0.25">
      <c r="A109" s="2">
        <v>106</v>
      </c>
      <c r="B109" s="7">
        <v>29254</v>
      </c>
      <c r="C109" s="2" t="s">
        <v>131</v>
      </c>
      <c r="D109" s="2" t="s">
        <v>130</v>
      </c>
      <c r="E109" s="4">
        <v>3333</v>
      </c>
      <c r="F109" s="4">
        <v>30431</v>
      </c>
      <c r="G109" s="4">
        <v>2948</v>
      </c>
      <c r="H109" s="5">
        <v>3295</v>
      </c>
      <c r="I109" s="5">
        <v>30353</v>
      </c>
      <c r="J109" s="5">
        <v>2904</v>
      </c>
      <c r="K109" s="6">
        <f t="shared" si="1"/>
        <v>-38</v>
      </c>
      <c r="L109" s="6">
        <f t="shared" si="1"/>
        <v>-78</v>
      </c>
      <c r="M109" s="6">
        <f t="shared" si="1"/>
        <v>-44</v>
      </c>
    </row>
    <row r="110" spans="1:13" x14ac:dyDescent="0.25">
      <c r="A110" s="2">
        <v>107</v>
      </c>
      <c r="B110" s="7">
        <v>29263</v>
      </c>
      <c r="C110" s="2" t="s">
        <v>132</v>
      </c>
      <c r="D110" s="2" t="s">
        <v>130</v>
      </c>
      <c r="E110" s="4">
        <v>3691</v>
      </c>
      <c r="F110" s="4">
        <v>27302</v>
      </c>
      <c r="G110" s="4">
        <v>3330</v>
      </c>
      <c r="H110" s="5">
        <v>3681</v>
      </c>
      <c r="I110" s="5">
        <v>27292</v>
      </c>
      <c r="J110" s="5">
        <v>3312</v>
      </c>
      <c r="K110" s="6">
        <f t="shared" si="1"/>
        <v>-10</v>
      </c>
      <c r="L110" s="6">
        <f t="shared" si="1"/>
        <v>-10</v>
      </c>
      <c r="M110" s="6">
        <f t="shared" si="1"/>
        <v>-18</v>
      </c>
    </row>
    <row r="111" spans="1:13" x14ac:dyDescent="0.25">
      <c r="A111" s="2">
        <v>108</v>
      </c>
      <c r="B111" s="7">
        <v>29374</v>
      </c>
      <c r="C111" s="2" t="s">
        <v>133</v>
      </c>
      <c r="D111" s="2" t="s">
        <v>130</v>
      </c>
      <c r="E111" s="4">
        <v>3661</v>
      </c>
      <c r="F111" s="4">
        <v>38246</v>
      </c>
      <c r="G111" s="4">
        <v>3327</v>
      </c>
      <c r="H111" s="5">
        <v>3607</v>
      </c>
      <c r="I111" s="5">
        <v>38181</v>
      </c>
      <c r="J111" s="5">
        <v>3261</v>
      </c>
      <c r="K111" s="6">
        <f t="shared" si="1"/>
        <v>-54</v>
      </c>
      <c r="L111" s="6">
        <f t="shared" si="1"/>
        <v>-65</v>
      </c>
      <c r="M111" s="6">
        <f t="shared" si="1"/>
        <v>-66</v>
      </c>
    </row>
    <row r="112" spans="1:13" x14ac:dyDescent="0.25">
      <c r="A112" s="2">
        <v>109</v>
      </c>
      <c r="B112" s="7">
        <v>29386</v>
      </c>
      <c r="C112" s="2" t="s">
        <v>134</v>
      </c>
      <c r="D112" s="2" t="s">
        <v>130</v>
      </c>
      <c r="E112" s="4">
        <v>3113</v>
      </c>
      <c r="F112" s="4">
        <v>34943</v>
      </c>
      <c r="G112" s="4">
        <v>2878</v>
      </c>
      <c r="H112" s="5">
        <v>3029</v>
      </c>
      <c r="I112" s="5">
        <v>34892</v>
      </c>
      <c r="J112" s="5">
        <v>2789</v>
      </c>
      <c r="K112" s="6">
        <f t="shared" si="1"/>
        <v>-84</v>
      </c>
      <c r="L112" s="6">
        <f t="shared" si="1"/>
        <v>-51</v>
      </c>
      <c r="M112" s="6">
        <f t="shared" si="1"/>
        <v>-89</v>
      </c>
    </row>
    <row r="113" spans="1:13" x14ac:dyDescent="0.25">
      <c r="A113" s="2">
        <v>110</v>
      </c>
      <c r="B113" s="7">
        <v>29398</v>
      </c>
      <c r="C113" s="2" t="s">
        <v>135</v>
      </c>
      <c r="D113" s="2" t="s">
        <v>130</v>
      </c>
      <c r="E113" s="4">
        <v>2151</v>
      </c>
      <c r="F113" s="4">
        <v>15558</v>
      </c>
      <c r="G113" s="4">
        <v>1906</v>
      </c>
      <c r="H113" s="5">
        <v>2132</v>
      </c>
      <c r="I113" s="5">
        <v>15276</v>
      </c>
      <c r="J113" s="5">
        <v>1875</v>
      </c>
      <c r="K113" s="6">
        <f t="shared" si="1"/>
        <v>-19</v>
      </c>
      <c r="L113" s="6">
        <f t="shared" si="1"/>
        <v>-282</v>
      </c>
      <c r="M113" s="6">
        <f t="shared" si="1"/>
        <v>-31</v>
      </c>
    </row>
    <row r="114" spans="1:13" x14ac:dyDescent="0.25">
      <c r="A114" s="2">
        <v>111</v>
      </c>
      <c r="B114" s="7">
        <v>29407</v>
      </c>
      <c r="C114" s="2" t="s">
        <v>136</v>
      </c>
      <c r="D114" s="2" t="s">
        <v>130</v>
      </c>
      <c r="E114" s="4">
        <v>2185</v>
      </c>
      <c r="F114" s="4">
        <v>32398</v>
      </c>
      <c r="G114" s="4">
        <v>1952</v>
      </c>
      <c r="H114" s="5">
        <v>2142</v>
      </c>
      <c r="I114" s="5">
        <v>32427</v>
      </c>
      <c r="J114" s="5">
        <v>1938</v>
      </c>
      <c r="K114" s="6">
        <f t="shared" si="1"/>
        <v>-43</v>
      </c>
      <c r="L114" s="6">
        <f t="shared" si="1"/>
        <v>29</v>
      </c>
      <c r="M114" s="6">
        <f t="shared" si="1"/>
        <v>-14</v>
      </c>
    </row>
    <row r="115" spans="1:13" x14ac:dyDescent="0.25">
      <c r="A115" s="2">
        <v>112</v>
      </c>
      <c r="B115" s="7">
        <v>29410</v>
      </c>
      <c r="C115" s="2" t="s">
        <v>137</v>
      </c>
      <c r="D115" s="2" t="s">
        <v>130</v>
      </c>
      <c r="E115" s="4">
        <v>655</v>
      </c>
      <c r="F115" s="4">
        <v>13615</v>
      </c>
      <c r="G115" s="4">
        <v>576</v>
      </c>
      <c r="H115" s="5">
        <v>651</v>
      </c>
      <c r="I115" s="5">
        <v>13589</v>
      </c>
      <c r="J115" s="5">
        <v>574</v>
      </c>
      <c r="K115" s="6">
        <f t="shared" si="1"/>
        <v>-4</v>
      </c>
      <c r="L115" s="6">
        <f t="shared" si="1"/>
        <v>-26</v>
      </c>
      <c r="M115" s="6">
        <f t="shared" si="1"/>
        <v>-2</v>
      </c>
    </row>
    <row r="116" spans="1:13" x14ac:dyDescent="0.25">
      <c r="A116" s="2">
        <v>113</v>
      </c>
      <c r="B116" s="7">
        <v>29413</v>
      </c>
      <c r="C116" s="2" t="s">
        <v>138</v>
      </c>
      <c r="D116" s="2" t="s">
        <v>130</v>
      </c>
      <c r="E116" s="4">
        <v>321</v>
      </c>
      <c r="F116" s="4">
        <v>11419</v>
      </c>
      <c r="G116" s="4">
        <v>242</v>
      </c>
      <c r="H116" s="5">
        <v>319</v>
      </c>
      <c r="I116" s="5">
        <v>11403</v>
      </c>
      <c r="J116" s="5">
        <v>241</v>
      </c>
      <c r="K116" s="6">
        <f t="shared" si="1"/>
        <v>-2</v>
      </c>
      <c r="L116" s="6">
        <f t="shared" si="1"/>
        <v>-16</v>
      </c>
      <c r="M116" s="6">
        <f t="shared" si="1"/>
        <v>-1</v>
      </c>
    </row>
    <row r="117" spans="1:13" x14ac:dyDescent="0.25">
      <c r="A117" s="2">
        <v>114</v>
      </c>
      <c r="B117" s="7">
        <v>29431</v>
      </c>
      <c r="C117" s="2" t="s">
        <v>139</v>
      </c>
      <c r="D117" s="2" t="s">
        <v>130</v>
      </c>
      <c r="E117" s="4">
        <v>1389</v>
      </c>
      <c r="F117" s="4">
        <v>18964</v>
      </c>
      <c r="G117" s="4">
        <v>1258</v>
      </c>
      <c r="H117" s="5">
        <v>1396</v>
      </c>
      <c r="I117" s="5">
        <v>18718</v>
      </c>
      <c r="J117" s="5">
        <v>1259</v>
      </c>
      <c r="K117" s="6">
        <f t="shared" si="1"/>
        <v>7</v>
      </c>
      <c r="L117" s="6">
        <f t="shared" si="1"/>
        <v>-246</v>
      </c>
      <c r="M117" s="6">
        <f t="shared" si="1"/>
        <v>1</v>
      </c>
    </row>
    <row r="118" spans="1:13" x14ac:dyDescent="0.25">
      <c r="A118" s="2">
        <v>115</v>
      </c>
      <c r="B118" s="7">
        <v>29821</v>
      </c>
      <c r="C118" s="2" t="s">
        <v>140</v>
      </c>
      <c r="D118" s="2" t="s">
        <v>141</v>
      </c>
      <c r="E118" s="4">
        <v>1973</v>
      </c>
      <c r="F118" s="4">
        <v>24010</v>
      </c>
      <c r="G118" s="4">
        <v>1723</v>
      </c>
      <c r="H118" s="5">
        <v>1962</v>
      </c>
      <c r="I118" s="5">
        <v>23612</v>
      </c>
      <c r="J118" s="5">
        <v>1705</v>
      </c>
      <c r="K118" s="6">
        <f t="shared" si="1"/>
        <v>-11</v>
      </c>
      <c r="L118" s="6">
        <f t="shared" si="1"/>
        <v>-398</v>
      </c>
      <c r="M118" s="6">
        <f t="shared" si="1"/>
        <v>-18</v>
      </c>
    </row>
    <row r="119" spans="1:13" x14ac:dyDescent="0.25">
      <c r="A119" s="2">
        <v>116</v>
      </c>
      <c r="B119" s="7">
        <v>29830</v>
      </c>
      <c r="C119" s="2" t="s">
        <v>142</v>
      </c>
      <c r="D119" s="2" t="s">
        <v>141</v>
      </c>
      <c r="E119" s="4">
        <v>2341</v>
      </c>
      <c r="F119" s="4">
        <v>31865</v>
      </c>
      <c r="G119" s="4">
        <v>2141</v>
      </c>
      <c r="H119" s="5">
        <v>2310</v>
      </c>
      <c r="I119" s="5">
        <v>31574</v>
      </c>
      <c r="J119" s="5">
        <v>2108</v>
      </c>
      <c r="K119" s="6">
        <f t="shared" si="1"/>
        <v>-31</v>
      </c>
      <c r="L119" s="6">
        <f t="shared" si="1"/>
        <v>-291</v>
      </c>
      <c r="M119" s="6">
        <f t="shared" si="1"/>
        <v>-33</v>
      </c>
    </row>
    <row r="120" spans="1:13" x14ac:dyDescent="0.25">
      <c r="A120" s="2">
        <v>117</v>
      </c>
      <c r="B120" s="7">
        <v>29836</v>
      </c>
      <c r="C120" s="2" t="s">
        <v>143</v>
      </c>
      <c r="D120" s="2" t="s">
        <v>141</v>
      </c>
      <c r="E120" s="4">
        <v>2372</v>
      </c>
      <c r="F120" s="4">
        <v>38133</v>
      </c>
      <c r="G120" s="4">
        <v>2137</v>
      </c>
      <c r="H120" s="5">
        <v>2328</v>
      </c>
      <c r="I120" s="5">
        <v>37929</v>
      </c>
      <c r="J120" s="5">
        <v>2127</v>
      </c>
      <c r="K120" s="6">
        <f t="shared" si="1"/>
        <v>-44</v>
      </c>
      <c r="L120" s="6">
        <f t="shared" si="1"/>
        <v>-204</v>
      </c>
      <c r="M120" s="6">
        <f t="shared" si="1"/>
        <v>-10</v>
      </c>
    </row>
    <row r="121" spans="1:13" x14ac:dyDescent="0.25">
      <c r="A121" s="2">
        <v>118</v>
      </c>
      <c r="B121" s="7">
        <v>29845</v>
      </c>
      <c r="C121" s="2" t="s">
        <v>144</v>
      </c>
      <c r="D121" s="2" t="s">
        <v>141</v>
      </c>
      <c r="E121" s="4">
        <v>1678</v>
      </c>
      <c r="F121" s="4">
        <v>34163</v>
      </c>
      <c r="G121" s="4">
        <v>1494</v>
      </c>
      <c r="H121" s="5">
        <v>1684</v>
      </c>
      <c r="I121" s="5">
        <v>33829</v>
      </c>
      <c r="J121" s="5">
        <v>1488</v>
      </c>
      <c r="K121" s="6">
        <f t="shared" si="1"/>
        <v>6</v>
      </c>
      <c r="L121" s="6">
        <f t="shared" si="1"/>
        <v>-334</v>
      </c>
      <c r="M121" s="6">
        <f t="shared" si="1"/>
        <v>-6</v>
      </c>
    </row>
    <row r="122" spans="1:13" x14ac:dyDescent="0.25">
      <c r="A122" s="2">
        <v>119</v>
      </c>
      <c r="B122" s="7">
        <v>29857</v>
      </c>
      <c r="C122" s="2" t="s">
        <v>145</v>
      </c>
      <c r="D122" s="2" t="s">
        <v>141</v>
      </c>
      <c r="E122" s="4">
        <v>823</v>
      </c>
      <c r="F122" s="4">
        <v>17393</v>
      </c>
      <c r="G122" s="4">
        <v>737</v>
      </c>
      <c r="H122" s="5">
        <v>802</v>
      </c>
      <c r="I122" s="5">
        <v>17360</v>
      </c>
      <c r="J122" s="5">
        <v>726</v>
      </c>
      <c r="K122" s="6">
        <f t="shared" si="1"/>
        <v>-21</v>
      </c>
      <c r="L122" s="6">
        <f t="shared" si="1"/>
        <v>-33</v>
      </c>
      <c r="M122" s="6">
        <f t="shared" si="1"/>
        <v>-11</v>
      </c>
    </row>
    <row r="123" spans="1:13" x14ac:dyDescent="0.25">
      <c r="A123" s="2">
        <v>120</v>
      </c>
      <c r="B123" s="7">
        <v>29551</v>
      </c>
      <c r="C123" s="2" t="s">
        <v>146</v>
      </c>
      <c r="D123" s="2" t="s">
        <v>147</v>
      </c>
      <c r="E123" s="4">
        <v>4628</v>
      </c>
      <c r="F123" s="4">
        <v>35867</v>
      </c>
      <c r="G123" s="4">
        <v>4124</v>
      </c>
      <c r="H123" s="5">
        <v>4537</v>
      </c>
      <c r="I123" s="5">
        <v>35122</v>
      </c>
      <c r="J123" s="5">
        <v>4035</v>
      </c>
      <c r="K123" s="6">
        <f t="shared" si="1"/>
        <v>-91</v>
      </c>
      <c r="L123" s="6">
        <f t="shared" si="1"/>
        <v>-745</v>
      </c>
      <c r="M123" s="6">
        <f t="shared" si="1"/>
        <v>-89</v>
      </c>
    </row>
    <row r="124" spans="1:13" x14ac:dyDescent="0.25">
      <c r="A124" s="2">
        <v>121</v>
      </c>
      <c r="B124" s="7">
        <v>29557</v>
      </c>
      <c r="C124" s="2" t="s">
        <v>148</v>
      </c>
      <c r="D124" s="2" t="s">
        <v>147</v>
      </c>
      <c r="E124" s="4">
        <v>5485</v>
      </c>
      <c r="F124" s="4">
        <v>35427</v>
      </c>
      <c r="G124" s="4">
        <v>4909</v>
      </c>
      <c r="H124" s="5">
        <v>5525</v>
      </c>
      <c r="I124" s="5">
        <v>34849</v>
      </c>
      <c r="J124" s="5">
        <v>4940</v>
      </c>
      <c r="K124" s="6">
        <f t="shared" si="1"/>
        <v>40</v>
      </c>
      <c r="L124" s="6">
        <f t="shared" si="1"/>
        <v>-578</v>
      </c>
      <c r="M124" s="6">
        <f t="shared" si="1"/>
        <v>31</v>
      </c>
    </row>
    <row r="125" spans="1:13" x14ac:dyDescent="0.25">
      <c r="A125" s="2">
        <v>122</v>
      </c>
      <c r="B125" s="7">
        <v>29566</v>
      </c>
      <c r="C125" s="2" t="s">
        <v>149</v>
      </c>
      <c r="D125" s="2" t="s">
        <v>147</v>
      </c>
      <c r="E125" s="4">
        <v>2496</v>
      </c>
      <c r="F125" s="4">
        <v>21614</v>
      </c>
      <c r="G125" s="4">
        <v>2305</v>
      </c>
      <c r="H125" s="5">
        <v>2473</v>
      </c>
      <c r="I125" s="5">
        <v>21298</v>
      </c>
      <c r="J125" s="5">
        <v>2292</v>
      </c>
      <c r="K125" s="6">
        <f t="shared" si="1"/>
        <v>-23</v>
      </c>
      <c r="L125" s="6">
        <f t="shared" si="1"/>
        <v>-316</v>
      </c>
      <c r="M125" s="6">
        <f t="shared" si="1"/>
        <v>-13</v>
      </c>
    </row>
    <row r="126" spans="1:13" x14ac:dyDescent="0.25">
      <c r="A126" s="2">
        <v>123</v>
      </c>
      <c r="B126" s="7">
        <v>29590</v>
      </c>
      <c r="C126" s="2" t="s">
        <v>150</v>
      </c>
      <c r="D126" s="2" t="s">
        <v>147</v>
      </c>
      <c r="E126" s="4">
        <v>3261</v>
      </c>
      <c r="F126" s="4">
        <v>23781</v>
      </c>
      <c r="G126" s="4">
        <v>3001</v>
      </c>
      <c r="H126" s="5">
        <v>3254</v>
      </c>
      <c r="I126" s="5">
        <v>23465</v>
      </c>
      <c r="J126" s="5">
        <v>2982</v>
      </c>
      <c r="K126" s="6">
        <f t="shared" si="1"/>
        <v>-7</v>
      </c>
      <c r="L126" s="6">
        <f t="shared" si="1"/>
        <v>-316</v>
      </c>
      <c r="M126" s="6">
        <f t="shared" si="1"/>
        <v>-19</v>
      </c>
    </row>
    <row r="127" spans="1:13" x14ac:dyDescent="0.25">
      <c r="A127" s="2">
        <v>124</v>
      </c>
      <c r="B127" s="7">
        <v>29593</v>
      </c>
      <c r="C127" s="2" t="s">
        <v>151</v>
      </c>
      <c r="D127" s="2" t="s">
        <v>147</v>
      </c>
      <c r="E127" s="4">
        <v>3860</v>
      </c>
      <c r="F127" s="4">
        <v>23147</v>
      </c>
      <c r="G127" s="4">
        <v>3502</v>
      </c>
      <c r="H127" s="5">
        <v>3856</v>
      </c>
      <c r="I127" s="5">
        <v>22869</v>
      </c>
      <c r="J127" s="5">
        <v>3477</v>
      </c>
      <c r="K127" s="6">
        <f t="shared" si="1"/>
        <v>-4</v>
      </c>
      <c r="L127" s="6">
        <f t="shared" si="1"/>
        <v>-278</v>
      </c>
      <c r="M127" s="6">
        <f t="shared" si="1"/>
        <v>-25</v>
      </c>
    </row>
    <row r="128" spans="1:13" x14ac:dyDescent="0.25">
      <c r="A128" s="2">
        <v>125</v>
      </c>
      <c r="B128" s="7" t="s">
        <v>152</v>
      </c>
      <c r="C128" s="2" t="s">
        <v>152</v>
      </c>
      <c r="D128" s="2" t="s">
        <v>152</v>
      </c>
      <c r="E128" s="4">
        <v>24355</v>
      </c>
      <c r="F128" s="4">
        <v>41672</v>
      </c>
      <c r="G128" s="4">
        <v>23643</v>
      </c>
      <c r="H128" s="5">
        <v>23886</v>
      </c>
      <c r="I128" s="5">
        <v>51786</v>
      </c>
      <c r="J128" s="5">
        <v>23100</v>
      </c>
      <c r="K128" s="6">
        <f t="shared" si="1"/>
        <v>-469</v>
      </c>
      <c r="L128" s="6">
        <f t="shared" si="1"/>
        <v>10114</v>
      </c>
      <c r="M128" s="6">
        <f t="shared" si="1"/>
        <v>-543</v>
      </c>
    </row>
    <row r="129" spans="1:13" s="9" customFormat="1" x14ac:dyDescent="0.25">
      <c r="A129" s="12" t="s">
        <v>153</v>
      </c>
      <c r="B129" s="12"/>
      <c r="C129" s="12"/>
      <c r="D129" s="12"/>
      <c r="E129" s="8">
        <f>SUM(E4:E128)</f>
        <v>304898</v>
      </c>
      <c r="F129" s="8">
        <f>SUM(F4:F128)</f>
        <v>3272705</v>
      </c>
      <c r="G129" s="8">
        <f>SUM(G4:G128)</f>
        <v>276741</v>
      </c>
      <c r="H129" s="8">
        <f>SUM(H4:H128)</f>
        <v>302318</v>
      </c>
      <c r="I129" s="8">
        <f>SUM(I4:I128)</f>
        <v>3256677</v>
      </c>
      <c r="J129" s="8">
        <f>SUM(J4:J128)</f>
        <v>273964</v>
      </c>
      <c r="K129" s="8">
        <f t="shared" si="1"/>
        <v>-2580</v>
      </c>
      <c r="L129" s="8">
        <f t="shared" si="1"/>
        <v>-16028</v>
      </c>
      <c r="M129" s="8">
        <f t="shared" si="1"/>
        <v>-2777</v>
      </c>
    </row>
  </sheetData>
  <mergeCells count="9">
    <mergeCell ref="K2:M2"/>
    <mergeCell ref="A129:D129"/>
    <mergeCell ref="A1:J1"/>
    <mergeCell ref="A2:A3"/>
    <mergeCell ref="B2:B3"/>
    <mergeCell ref="C2:C3"/>
    <mergeCell ref="D2:D3"/>
    <mergeCell ref="E2:G2"/>
    <mergeCell ref="H2:J2"/>
  </mergeCells>
  <pageMargins left="0.7" right="0.7" top="0.75" bottom="0.75" header="0.3" footer="0.3"/>
  <pageSetup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Nhi  Thai</dc:creator>
  <cp:lastModifiedBy>Da Nhi  Thai</cp:lastModifiedBy>
  <cp:lastPrinted>2026-07-28T08:19:15Z</cp:lastPrinted>
  <dcterms:created xsi:type="dcterms:W3CDTF">2026-07-28T07:34:23Z</dcterms:created>
  <dcterms:modified xsi:type="dcterms:W3CDTF">2026-07-28T08:52:53Z</dcterms:modified>
</cp:coreProperties>
</file>